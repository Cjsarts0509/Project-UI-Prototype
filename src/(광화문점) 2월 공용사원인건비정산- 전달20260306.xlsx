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장진주\2026년\2026년 AR 공용사원 관리\2025 리크루트 인력정산\2026년\"/>
    </mc:Choice>
  </mc:AlternateContent>
  <bookViews>
    <workbookView xWindow="-90" yWindow="0" windowWidth="20835" windowHeight="16650" tabRatio="918" firstSheet="1" activeTab="1"/>
  </bookViews>
  <sheets>
    <sheet name="2월매출" sheetId="19" state="hidden" r:id="rId1"/>
    <sheet name="광화문(문구)" sheetId="18" r:id="rId2"/>
    <sheet name="개별내역" sheetId="16" r:id="rId3"/>
  </sheets>
  <calcPr calcId="162913"/>
</workbook>
</file>

<file path=xl/calcChain.xml><?xml version="1.0" encoding="utf-8"?>
<calcChain xmlns="http://schemas.openxmlformats.org/spreadsheetml/2006/main">
  <c r="M68" i="18" l="1"/>
  <c r="L68" i="18"/>
  <c r="D65" i="18" l="1"/>
  <c r="D66" i="18"/>
  <c r="D67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6" i="18"/>
  <c r="D3" i="16" l="1"/>
  <c r="D68" i="18"/>
  <c r="F50" i="18" s="1"/>
  <c r="F7" i="18" l="1"/>
  <c r="F43" i="18"/>
  <c r="F20" i="18"/>
  <c r="F57" i="18"/>
  <c r="F26" i="18"/>
  <c r="F37" i="18"/>
  <c r="F66" i="18"/>
  <c r="F9" i="18"/>
  <c r="F28" i="18"/>
  <c r="F44" i="18"/>
  <c r="F19" i="18"/>
  <c r="F34" i="18"/>
  <c r="F64" i="18"/>
  <c r="E14" i="18"/>
  <c r="G14" i="18" s="1"/>
  <c r="F14" i="18"/>
  <c r="F13" i="18"/>
  <c r="E13" i="18"/>
  <c r="F52" i="18"/>
  <c r="F60" i="18"/>
  <c r="F67" i="18"/>
  <c r="F12" i="18"/>
  <c r="F22" i="18"/>
  <c r="F31" i="18"/>
  <c r="F38" i="18"/>
  <c r="F46" i="18"/>
  <c r="F54" i="18"/>
  <c r="F61" i="18"/>
  <c r="F6" i="18"/>
  <c r="F16" i="18"/>
  <c r="F25" i="18"/>
  <c r="F32" i="18"/>
  <c r="F40" i="18"/>
  <c r="F49" i="18"/>
  <c r="F55" i="18"/>
  <c r="F63" i="18"/>
  <c r="F10" i="18"/>
  <c r="F17" i="18"/>
  <c r="F23" i="18"/>
  <c r="F29" i="18"/>
  <c r="F35" i="18"/>
  <c r="F41" i="18"/>
  <c r="F47" i="18"/>
  <c r="F53" i="18"/>
  <c r="F58" i="18"/>
  <c r="E3" i="16"/>
  <c r="F11" i="18"/>
  <c r="F18" i="18"/>
  <c r="F24" i="18"/>
  <c r="F30" i="18"/>
  <c r="F36" i="18"/>
  <c r="F42" i="18"/>
  <c r="F48" i="18"/>
  <c r="F56" i="18"/>
  <c r="F62" i="18"/>
  <c r="F8" i="18"/>
  <c r="F15" i="18"/>
  <c r="F21" i="18"/>
  <c r="F27" i="18"/>
  <c r="F33" i="18"/>
  <c r="F39" i="18"/>
  <c r="F45" i="18"/>
  <c r="F51" i="18"/>
  <c r="F59" i="18"/>
  <c r="F65" i="18"/>
  <c r="F68" i="18" l="1"/>
  <c r="L13" i="18"/>
  <c r="G13" i="18"/>
  <c r="D2" i="16"/>
  <c r="E2" i="16" l="1"/>
  <c r="C9" i="16"/>
  <c r="D8" i="16"/>
  <c r="E8" i="16" s="1"/>
  <c r="D7" i="16"/>
  <c r="E7" i="16" s="1"/>
  <c r="D6" i="16"/>
  <c r="E6" i="16" s="1"/>
  <c r="D5" i="16"/>
  <c r="E5" i="16" s="1"/>
  <c r="D4" i="16"/>
  <c r="E4" i="16" s="1"/>
  <c r="D9" i="16" l="1"/>
  <c r="E9" i="16"/>
  <c r="D3" i="18" l="1"/>
  <c r="E50" i="18" l="1"/>
  <c r="E32" i="18"/>
  <c r="E67" i="18"/>
  <c r="E55" i="18"/>
  <c r="E15" i="18"/>
  <c r="E20" i="18"/>
  <c r="E41" i="18"/>
  <c r="E58" i="18"/>
  <c r="E17" i="18"/>
  <c r="E21" i="18"/>
  <c r="E10" i="18"/>
  <c r="E44" i="18"/>
  <c r="E38" i="18"/>
  <c r="E26" i="18"/>
  <c r="E61" i="18"/>
  <c r="E53" i="18"/>
  <c r="E47" i="18"/>
  <c r="E29" i="18"/>
  <c r="E7" i="18"/>
  <c r="E64" i="18"/>
  <c r="E11" i="18"/>
  <c r="E8" i="18"/>
  <c r="E24" i="18"/>
  <c r="E35" i="18"/>
  <c r="E18" i="18"/>
  <c r="E23" i="18"/>
  <c r="E30" i="18"/>
  <c r="E12" i="18"/>
  <c r="E49" i="18"/>
  <c r="E36" i="18"/>
  <c r="E54" i="18"/>
  <c r="E39" i="18"/>
  <c r="E22" i="18"/>
  <c r="E42" i="18"/>
  <c r="E60" i="18"/>
  <c r="E45" i="18"/>
  <c r="E63" i="18"/>
  <c r="E48" i="18"/>
  <c r="E43" i="18"/>
  <c r="E27" i="18"/>
  <c r="E46" i="18"/>
  <c r="E66" i="18"/>
  <c r="E33" i="18"/>
  <c r="E16" i="18"/>
  <c r="E52" i="18"/>
  <c r="E19" i="18"/>
  <c r="E57" i="18"/>
  <c r="E25" i="18"/>
  <c r="E28" i="18"/>
  <c r="E31" i="18"/>
  <c r="E51" i="18"/>
  <c r="E34" i="18"/>
  <c r="E56" i="18"/>
  <c r="E37" i="18"/>
  <c r="E59" i="18"/>
  <c r="E40" i="18"/>
  <c r="E62" i="18"/>
  <c r="E6" i="18"/>
  <c r="L6" i="18" s="1"/>
  <c r="E65" i="18"/>
  <c r="E9" i="18"/>
  <c r="G65" i="18" l="1"/>
  <c r="L65" i="18"/>
  <c r="G51" i="18"/>
  <c r="L51" i="18"/>
  <c r="G33" i="18"/>
  <c r="L33" i="18"/>
  <c r="G54" i="18"/>
  <c r="L54" i="18"/>
  <c r="L14" i="18"/>
  <c r="G53" i="18"/>
  <c r="L53" i="18"/>
  <c r="G44" i="18"/>
  <c r="L44" i="18"/>
  <c r="G55" i="18"/>
  <c r="L55" i="18"/>
  <c r="G19" i="18"/>
  <c r="L19" i="18"/>
  <c r="G48" i="18"/>
  <c r="L48" i="18"/>
  <c r="G42" i="18"/>
  <c r="L42" i="18"/>
  <c r="G36" i="18"/>
  <c r="L36" i="18"/>
  <c r="G23" i="18"/>
  <c r="L23" i="18"/>
  <c r="G24" i="18"/>
  <c r="L24" i="18"/>
  <c r="G7" i="18"/>
  <c r="L7" i="18"/>
  <c r="G61" i="18"/>
  <c r="L61" i="18"/>
  <c r="G10" i="18"/>
  <c r="L10" i="18"/>
  <c r="G41" i="18"/>
  <c r="L41" i="18"/>
  <c r="G67" i="18"/>
  <c r="L67" i="18"/>
  <c r="G31" i="18"/>
  <c r="L31" i="18"/>
  <c r="G66" i="18"/>
  <c r="L66" i="18"/>
  <c r="G62" i="18"/>
  <c r="L62" i="18"/>
  <c r="G56" i="18"/>
  <c r="L56" i="18"/>
  <c r="G28" i="18"/>
  <c r="L28" i="18"/>
  <c r="G52" i="18"/>
  <c r="L52" i="18"/>
  <c r="G46" i="18"/>
  <c r="L46" i="18"/>
  <c r="G63" i="18"/>
  <c r="L63" i="18"/>
  <c r="G22" i="18"/>
  <c r="L22" i="18"/>
  <c r="G49" i="18"/>
  <c r="L49" i="18"/>
  <c r="G18" i="18"/>
  <c r="L18" i="18"/>
  <c r="G8" i="18"/>
  <c r="L8" i="18"/>
  <c r="G29" i="18"/>
  <c r="L29" i="18"/>
  <c r="G26" i="18"/>
  <c r="L26" i="18"/>
  <c r="G21" i="18"/>
  <c r="L21" i="18"/>
  <c r="G20" i="18"/>
  <c r="L20" i="18"/>
  <c r="G32" i="18"/>
  <c r="L32" i="18"/>
  <c r="G59" i="18"/>
  <c r="L59" i="18"/>
  <c r="G57" i="18"/>
  <c r="L57" i="18"/>
  <c r="G43" i="18"/>
  <c r="L43" i="18"/>
  <c r="G60" i="18"/>
  <c r="L60" i="18"/>
  <c r="G30" i="18"/>
  <c r="L30" i="18"/>
  <c r="G64" i="18"/>
  <c r="L64" i="18"/>
  <c r="G58" i="18"/>
  <c r="L58" i="18"/>
  <c r="G37" i="18"/>
  <c r="L37" i="18"/>
  <c r="G9" i="18"/>
  <c r="L9" i="18"/>
  <c r="G40" i="18"/>
  <c r="L40" i="18"/>
  <c r="G34" i="18"/>
  <c r="L34" i="18"/>
  <c r="G25" i="18"/>
  <c r="L25" i="18"/>
  <c r="G16" i="18"/>
  <c r="L16" i="18"/>
  <c r="G27" i="18"/>
  <c r="L27" i="18"/>
  <c r="G45" i="18"/>
  <c r="L45" i="18"/>
  <c r="G39" i="18"/>
  <c r="L39" i="18"/>
  <c r="G12" i="18"/>
  <c r="L12" i="18"/>
  <c r="G35" i="18"/>
  <c r="L35" i="18"/>
  <c r="G11" i="18"/>
  <c r="L11" i="18"/>
  <c r="G47" i="18"/>
  <c r="L47" i="18"/>
  <c r="G38" i="18"/>
  <c r="L38" i="18"/>
  <c r="G17" i="18"/>
  <c r="L17" i="18"/>
  <c r="G15" i="18"/>
  <c r="L15" i="18"/>
  <c r="G50" i="18"/>
  <c r="L50" i="18"/>
  <c r="G6" i="18"/>
  <c r="E68" i="18"/>
</calcChain>
</file>

<file path=xl/comments1.xml><?xml version="1.0" encoding="utf-8"?>
<comments xmlns="http://schemas.openxmlformats.org/spreadsheetml/2006/main">
  <authors>
    <author>hottracks</author>
    <author>USER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2/22</t>
        </r>
        <r>
          <rPr>
            <b/>
            <sz val="9"/>
            <color indexed="81"/>
            <rFont val="돋움"/>
            <family val="3"/>
            <charset val="129"/>
          </rPr>
          <t>일자로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신청함</t>
        </r>
      </text>
    </comment>
    <comment ref="C58" authorId="1" shapeId="0">
      <text>
        <r>
          <rPr>
            <b/>
            <sz val="9"/>
            <color indexed="81"/>
            <rFont val="Tahoma"/>
            <family val="2"/>
          </rPr>
          <t>11/11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박서영님에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리스트전달</t>
        </r>
      </text>
    </comment>
    <comment ref="C60" authorId="1" shapeId="0">
      <text>
        <r>
          <rPr>
            <b/>
            <sz val="9"/>
            <color indexed="81"/>
            <rFont val="Tahoma"/>
            <family val="2"/>
          </rPr>
          <t xml:space="preserve">11/18 </t>
        </r>
        <r>
          <rPr>
            <b/>
            <sz val="9"/>
            <color indexed="81"/>
            <rFont val="돋움"/>
            <family val="3"/>
            <charset val="129"/>
          </rPr>
          <t>박서영님에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리스트전달</t>
        </r>
      </text>
    </comment>
  </commentList>
</comments>
</file>

<file path=xl/sharedStrings.xml><?xml version="1.0" encoding="utf-8"?>
<sst xmlns="http://schemas.openxmlformats.org/spreadsheetml/2006/main" count="1234" uniqueCount="1053">
  <si>
    <t>영업점</t>
    <phoneticPr fontId="2" type="noConversion"/>
  </si>
  <si>
    <t>구분</t>
    <phoneticPr fontId="2" type="noConversion"/>
  </si>
  <si>
    <t>매입처코드</t>
    <phoneticPr fontId="2" type="noConversion"/>
  </si>
  <si>
    <t>업체명</t>
    <phoneticPr fontId="2" type="noConversion"/>
  </si>
  <si>
    <t>공제액</t>
    <phoneticPr fontId="2" type="noConversion"/>
  </si>
  <si>
    <t>매출금액</t>
    <phoneticPr fontId="2" type="noConversion"/>
  </si>
  <si>
    <t>정산월</t>
    <phoneticPr fontId="2" type="noConversion"/>
  </si>
  <si>
    <t>인건비총액</t>
    <phoneticPr fontId="2" type="noConversion"/>
  </si>
  <si>
    <t>공제대상자</t>
    <phoneticPr fontId="2" type="noConversion"/>
  </si>
  <si>
    <t>공제액 산출</t>
    <phoneticPr fontId="2" type="noConversion"/>
  </si>
  <si>
    <t>인건비율</t>
    <phoneticPr fontId="2" type="noConversion"/>
  </si>
  <si>
    <t>*노란색 음영 도급업체작성</t>
    <phoneticPr fontId="2" type="noConversion"/>
  </si>
  <si>
    <t>업체점유비</t>
    <phoneticPr fontId="2" type="noConversion"/>
  </si>
  <si>
    <t>합계</t>
    <phoneticPr fontId="2" type="noConversion"/>
  </si>
  <si>
    <t>공급가액</t>
    <phoneticPr fontId="2" type="noConversion"/>
  </si>
  <si>
    <t>부가세</t>
    <phoneticPr fontId="2" type="noConversion"/>
  </si>
  <si>
    <t>* 교보문고 작성</t>
    <phoneticPr fontId="2" type="noConversion"/>
  </si>
  <si>
    <t>0815608</t>
  </si>
  <si>
    <t>현장대리인</t>
    <phoneticPr fontId="34" type="noConversion"/>
  </si>
  <si>
    <t>주중</t>
    <phoneticPr fontId="34" type="noConversion"/>
  </si>
  <si>
    <t>계</t>
    <phoneticPr fontId="2" type="noConversion"/>
  </si>
  <si>
    <t>합계</t>
    <phoneticPr fontId="2" type="noConversion"/>
  </si>
  <si>
    <t>비고</t>
    <phoneticPr fontId="2" type="noConversion"/>
  </si>
  <si>
    <t>이현지</t>
  </si>
  <si>
    <t>성명</t>
    <phoneticPr fontId="2" type="noConversion"/>
  </si>
  <si>
    <t>이다연</t>
  </si>
  <si>
    <t>이승은</t>
  </si>
  <si>
    <t>남주영</t>
  </si>
  <si>
    <t>0803741</t>
  </si>
  <si>
    <t>BST</t>
  </si>
  <si>
    <t>0803791</t>
  </si>
  <si>
    <t>공장</t>
  </si>
  <si>
    <t>0816555</t>
  </si>
  <si>
    <t>냐냐온 스튜디오</t>
  </si>
  <si>
    <t>0817528</t>
  </si>
  <si>
    <t>누크코퍼레이션</t>
  </si>
  <si>
    <t>0807485</t>
  </si>
  <si>
    <t>대시앤도트</t>
  </si>
  <si>
    <t>0817625</t>
  </si>
  <si>
    <t>대인커머스</t>
  </si>
  <si>
    <t>0816903</t>
  </si>
  <si>
    <t>더시호</t>
  </si>
  <si>
    <t>0817225</t>
  </si>
  <si>
    <t>도혜드로잉</t>
  </si>
  <si>
    <t>0810456</t>
  </si>
  <si>
    <t>디앤에프조이필</t>
  </si>
  <si>
    <t>0818173</t>
  </si>
  <si>
    <t>디에스컴퍼니</t>
  </si>
  <si>
    <t>0811335</t>
  </si>
  <si>
    <t>디자인랩</t>
  </si>
  <si>
    <t>0807002</t>
  </si>
  <si>
    <t>디자인피그</t>
  </si>
  <si>
    <t>0803503</t>
  </si>
  <si>
    <t>로마네</t>
  </si>
  <si>
    <t>0816525</t>
  </si>
  <si>
    <t>루카랩컴퍼니</t>
  </si>
  <si>
    <t>0816579</t>
  </si>
  <si>
    <t>모노라이크엘앤비</t>
  </si>
  <si>
    <t>0815261</t>
  </si>
  <si>
    <t>모먼트디자인</t>
  </si>
  <si>
    <t>0812988</t>
  </si>
  <si>
    <t>모트모트</t>
  </si>
  <si>
    <t>0813069</t>
  </si>
  <si>
    <t>바이나쿠</t>
  </si>
  <si>
    <t>0814818</t>
  </si>
  <si>
    <t>바이인터내셔널</t>
  </si>
  <si>
    <t>0811795</t>
  </si>
  <si>
    <t>베르제마넷</t>
  </si>
  <si>
    <t>0817604</t>
  </si>
  <si>
    <t>비온뒤</t>
  </si>
  <si>
    <t>0810863</t>
  </si>
  <si>
    <t>서원씨엔케이</t>
  </si>
  <si>
    <t>0803289</t>
  </si>
  <si>
    <t>솜씨스템프</t>
  </si>
  <si>
    <t>0815173</t>
  </si>
  <si>
    <t>수앙스</t>
  </si>
  <si>
    <t>0816440</t>
  </si>
  <si>
    <t>수키도키</t>
  </si>
  <si>
    <t>0803222</t>
  </si>
  <si>
    <t>아르디움</t>
  </si>
  <si>
    <t>0816628</t>
  </si>
  <si>
    <t>아이썬북</t>
  </si>
  <si>
    <t>0803186</t>
  </si>
  <si>
    <t>아이코닉</t>
  </si>
  <si>
    <t>0803159</t>
  </si>
  <si>
    <t>안테나샵</t>
  </si>
  <si>
    <t>알로아라</t>
  </si>
  <si>
    <t>0814876</t>
  </si>
  <si>
    <t>에이치엠플러스</t>
  </si>
  <si>
    <t>0816312</t>
  </si>
  <si>
    <t>엠젯패밀리</t>
  </si>
  <si>
    <t>0803303</t>
  </si>
  <si>
    <t>이투컬렉션</t>
  </si>
  <si>
    <t>0803690</t>
  </si>
  <si>
    <t>인디고</t>
  </si>
  <si>
    <t>0803825</t>
  </si>
  <si>
    <t>정인통상</t>
  </si>
  <si>
    <t>0816921</t>
  </si>
  <si>
    <t>체리블로섬</t>
  </si>
  <si>
    <t>0803187</t>
  </si>
  <si>
    <t>칠삼이일</t>
  </si>
  <si>
    <t>0811513</t>
  </si>
  <si>
    <t>캘리엠</t>
  </si>
  <si>
    <t>0816769</t>
  </si>
  <si>
    <t>컴포지션스튜디오</t>
  </si>
  <si>
    <t>0810588</t>
  </si>
  <si>
    <t>케이디코퍼레이션</t>
  </si>
  <si>
    <t>0803702</t>
  </si>
  <si>
    <t>케이아트컴퍼니(구,케이페이퍼)</t>
  </si>
  <si>
    <t>0816201</t>
  </si>
  <si>
    <t>콤래드</t>
  </si>
  <si>
    <t>0818036</t>
  </si>
  <si>
    <t>페펜스튜디오(구,워너디스)</t>
  </si>
  <si>
    <t>0803267</t>
  </si>
  <si>
    <t>플레플레</t>
  </si>
  <si>
    <t>0807497</t>
  </si>
  <si>
    <t>학산</t>
  </si>
  <si>
    <t>0817135</t>
  </si>
  <si>
    <t>해피썬</t>
  </si>
  <si>
    <t>0810974</t>
  </si>
  <si>
    <t>헤른후트</t>
  </si>
  <si>
    <t>0807481</t>
  </si>
  <si>
    <t>골드디자인</t>
  </si>
  <si>
    <t>0811452</t>
  </si>
  <si>
    <t>누리플러스</t>
  </si>
  <si>
    <t>0818289</t>
  </si>
  <si>
    <t>대원미디어/닌텐도</t>
  </si>
  <si>
    <t>0817681</t>
  </si>
  <si>
    <t>롤리조쓰컴퍼니</t>
  </si>
  <si>
    <t>0818304</t>
  </si>
  <si>
    <t>상상스퀘어</t>
  </si>
  <si>
    <t>0817389</t>
  </si>
  <si>
    <t>에스앤에스테크놀러지</t>
  </si>
  <si>
    <t>0810708</t>
  </si>
  <si>
    <t>워프</t>
  </si>
  <si>
    <t>0818298</t>
  </si>
  <si>
    <t>위올(ouior)</t>
  </si>
  <si>
    <t>0806798</t>
  </si>
  <si>
    <t>이가라인유통</t>
  </si>
  <si>
    <t>0818089</t>
  </si>
  <si>
    <t>이브이큐</t>
  </si>
  <si>
    <t>0816821</t>
  </si>
  <si>
    <t>프롬더페이지</t>
  </si>
  <si>
    <t>0817530</t>
  </si>
  <si>
    <t>후추더페퍼</t>
  </si>
  <si>
    <t>박선영</t>
  </si>
  <si>
    <t>김유빈</t>
  </si>
  <si>
    <t>퇴직금</t>
    <phoneticPr fontId="2" type="noConversion"/>
  </si>
  <si>
    <t>0816796</t>
  </si>
  <si>
    <t>0818037</t>
  </si>
  <si>
    <t>MEMO</t>
    <phoneticPr fontId="2" type="noConversion"/>
  </si>
  <si>
    <t>공제금액</t>
    <phoneticPr fontId="2" type="noConversion"/>
  </si>
  <si>
    <t>0816796</t>
    <phoneticPr fontId="2" type="noConversion"/>
  </si>
  <si>
    <t>마이누</t>
    <phoneticPr fontId="2" type="noConversion"/>
  </si>
  <si>
    <t>0818037</t>
    <phoneticPr fontId="2" type="noConversion"/>
  </si>
  <si>
    <t>신한커머스/로디아</t>
    <phoneticPr fontId="2" type="noConversion"/>
  </si>
  <si>
    <t>*수키도키는 12/1일자로 매입처코드 변경되었음 : 0816440에서 0818498 수키도키(주)로 변경</t>
    <phoneticPr fontId="2" type="noConversion"/>
  </si>
  <si>
    <t>광화문점</t>
    <phoneticPr fontId="2" type="noConversion"/>
  </si>
  <si>
    <t>2월</t>
    <phoneticPr fontId="2" type="noConversion"/>
  </si>
  <si>
    <t>이현지,이다연,박선영,이승은,남주영,김유빈</t>
    <phoneticPr fontId="2" type="noConversion"/>
  </si>
  <si>
    <t>기간별 매출내역</t>
  </si>
  <si>
    <t xml:space="preserve"> </t>
  </si>
  <si>
    <t xml:space="preserve">매출일자:2026/02    ~    2026/02    영업점:광화문점    상품구분:문구    매입처:        상품코드:        조    전체    상품분류:        음반코드:        ITEM-NO:    조회구분:보관상품구분:전체    핫트랙스분류:            HDC:            </t>
  </si>
  <si>
    <t>매입처코드</t>
  </si>
  <si>
    <t>매입처명▲</t>
  </si>
  <si>
    <t>2월</t>
  </si>
  <si>
    <t>수량</t>
  </si>
  <si>
    <t>실매출금액</t>
  </si>
  <si>
    <t>전년실매출</t>
  </si>
  <si>
    <t>신장율</t>
  </si>
  <si>
    <t>이익율</t>
  </si>
  <si>
    <t>0818419</t>
  </si>
  <si>
    <t>(주)께끼/PB</t>
  </si>
  <si>
    <t>0818225</t>
  </si>
  <si>
    <t>(주)모리아인터내셔널</t>
  </si>
  <si>
    <t>0818497</t>
  </si>
  <si>
    <t>(주)애즈포러스</t>
  </si>
  <si>
    <t>0811061</t>
  </si>
  <si>
    <t>BRENCH</t>
  </si>
  <si>
    <t>0809045</t>
  </si>
  <si>
    <t>DBD</t>
  </si>
  <si>
    <t>0818594</t>
  </si>
  <si>
    <t>DS샵</t>
  </si>
  <si>
    <t>0803023</t>
  </si>
  <si>
    <t>GREEN-ZONE SCENICS</t>
  </si>
  <si>
    <t>0817832</t>
  </si>
  <si>
    <t>js company</t>
  </si>
  <si>
    <t>0816652</t>
  </si>
  <si>
    <t>mkdreamscorea</t>
  </si>
  <si>
    <t>0810685</t>
  </si>
  <si>
    <t>OIMU(오이뮤)</t>
  </si>
  <si>
    <t>0817705</t>
  </si>
  <si>
    <t>PESCE(페셰)</t>
  </si>
  <si>
    <t>0817628</t>
  </si>
  <si>
    <t>sen studio</t>
  </si>
  <si>
    <t>0817747</t>
  </si>
  <si>
    <t>가능세계</t>
  </si>
  <si>
    <t>0817489</t>
  </si>
  <si>
    <t>거인의어깨</t>
  </si>
  <si>
    <t>0817621</t>
  </si>
  <si>
    <t>거인의어깨/PB</t>
  </si>
  <si>
    <t>0817723</t>
  </si>
  <si>
    <t>고그린오브젝트</t>
  </si>
  <si>
    <t>0815018</t>
  </si>
  <si>
    <t>고양이다방</t>
  </si>
  <si>
    <t>0817132</t>
  </si>
  <si>
    <t>공방, 나무를 품다</t>
  </si>
  <si>
    <t>0803143</t>
  </si>
  <si>
    <t>그린나래</t>
  </si>
  <si>
    <t>0816743</t>
  </si>
  <si>
    <t>그린데이즈</t>
  </si>
  <si>
    <t>그린디자인웍스공장</t>
  </si>
  <si>
    <t>0818576</t>
  </si>
  <si>
    <t>그린코리아</t>
  </si>
  <si>
    <t>0817933</t>
  </si>
  <si>
    <t>그린플레어</t>
  </si>
  <si>
    <t>0817070</t>
  </si>
  <si>
    <t>글렌</t>
  </si>
  <si>
    <t>0809777</t>
  </si>
  <si>
    <t>글로와이드</t>
  </si>
  <si>
    <t>0803244</t>
  </si>
  <si>
    <t>글로와이드/CA용품</t>
  </si>
  <si>
    <t>0817345</t>
  </si>
  <si>
    <t>글로와이드/DELI</t>
  </si>
  <si>
    <t>0803812</t>
  </si>
  <si>
    <t>글로와이드/DIGITAL</t>
  </si>
  <si>
    <t>0803163</t>
  </si>
  <si>
    <t>금홍팬시/동아월드</t>
  </si>
  <si>
    <t>0817930</t>
  </si>
  <si>
    <t>김박스랩</t>
  </si>
  <si>
    <t>0816342</t>
  </si>
  <si>
    <t>깃컴퍼니</t>
  </si>
  <si>
    <t>0812471</t>
  </si>
  <si>
    <t>께끼</t>
  </si>
  <si>
    <t>0816550</t>
  </si>
  <si>
    <t>꼼꼬미</t>
  </si>
  <si>
    <t>0807725</t>
  </si>
  <si>
    <t>나이스통상</t>
  </si>
  <si>
    <t>0817199</t>
  </si>
  <si>
    <t>나인프리/PB</t>
  </si>
  <si>
    <t>0817372</t>
  </si>
  <si>
    <t>냥냥냥냥냥</t>
  </si>
  <si>
    <t>0818604</t>
  </si>
  <si>
    <t>네고지오</t>
  </si>
  <si>
    <t>0809411</t>
  </si>
  <si>
    <t>네온티이씨</t>
  </si>
  <si>
    <t>0818551</t>
  </si>
  <si>
    <t>네이처오다</t>
  </si>
  <si>
    <t>0817903</t>
  </si>
  <si>
    <t>노쉬프로젝트</t>
  </si>
  <si>
    <t>0818549</t>
  </si>
  <si>
    <t>누보랩</t>
  </si>
  <si>
    <t>0816849</t>
  </si>
  <si>
    <t>뉴워크</t>
  </si>
  <si>
    <t>0800392</t>
  </si>
  <si>
    <t>다내</t>
  </si>
  <si>
    <t>0817658</t>
  </si>
  <si>
    <t>다디 스튜디오(종류)</t>
  </si>
  <si>
    <t>0818514</t>
  </si>
  <si>
    <t>다디바</t>
  </si>
  <si>
    <t>0814429</t>
  </si>
  <si>
    <t>다보/PB</t>
  </si>
  <si>
    <t>0817635</t>
  </si>
  <si>
    <t>다시방프로젝트/PB</t>
  </si>
  <si>
    <t>0813478</t>
  </si>
  <si>
    <t>대연에스디</t>
  </si>
  <si>
    <t>0816689</t>
  </si>
  <si>
    <t>대원미디어/마블</t>
  </si>
  <si>
    <t>0817855</t>
  </si>
  <si>
    <t>더레드데이</t>
  </si>
  <si>
    <t>0806302</t>
  </si>
  <si>
    <t>더솜씨</t>
  </si>
  <si>
    <t>0817112</t>
  </si>
  <si>
    <t>더솜씨/PB</t>
  </si>
  <si>
    <t>0817831</t>
  </si>
  <si>
    <t>더좋은친구들</t>
  </si>
  <si>
    <t>0818620</t>
  </si>
  <si>
    <t>더토브</t>
  </si>
  <si>
    <t>0815655</t>
  </si>
  <si>
    <t>데메테르앤드</t>
  </si>
  <si>
    <t>0818421</t>
  </si>
  <si>
    <t>데코라존/PB</t>
  </si>
  <si>
    <t>0817560</t>
  </si>
  <si>
    <t>도나앤데코</t>
  </si>
  <si>
    <t>0800659</t>
  </si>
  <si>
    <t>도너랜드(직매입)</t>
  </si>
  <si>
    <t>0812529</t>
  </si>
  <si>
    <t>도안</t>
  </si>
  <si>
    <t>0818410</t>
  </si>
  <si>
    <t>독도문방구</t>
  </si>
  <si>
    <t>0817200</t>
  </si>
  <si>
    <t>동그라미몰</t>
  </si>
  <si>
    <t>0800671</t>
  </si>
  <si>
    <t>동아교재(직매입)</t>
  </si>
  <si>
    <t>0800618</t>
  </si>
  <si>
    <t>동아교재(직매입)/유니</t>
  </si>
  <si>
    <t>0800670</t>
  </si>
  <si>
    <t>동아교재/회화구류(직매입)</t>
  </si>
  <si>
    <t>0800516</t>
  </si>
  <si>
    <t>동아연필(직매입)</t>
  </si>
  <si>
    <t>0817939</t>
  </si>
  <si>
    <t>동아피엠에스</t>
  </si>
  <si>
    <t>0817856</t>
  </si>
  <si>
    <t>동진메디컬(직매입)</t>
  </si>
  <si>
    <t>0800680</t>
  </si>
  <si>
    <t>동진씨엠에스(직매입)</t>
  </si>
  <si>
    <t>0800437</t>
  </si>
  <si>
    <t>동진통상(직매입)</t>
  </si>
  <si>
    <t>0806817</t>
  </si>
  <si>
    <t>두두 디자인 스튜디오</t>
  </si>
  <si>
    <t>0800423</t>
  </si>
  <si>
    <t>두성종이(직매입)</t>
  </si>
  <si>
    <t>0800917</t>
  </si>
  <si>
    <t>두성종이/PB</t>
  </si>
  <si>
    <t>0816868</t>
  </si>
  <si>
    <t>두컴퍼니(Do Company)</t>
  </si>
  <si>
    <t>0817795</t>
  </si>
  <si>
    <t>드래곤미디어</t>
  </si>
  <si>
    <t>0810016</t>
  </si>
  <si>
    <t>드로브로스</t>
  </si>
  <si>
    <t>0817588</t>
  </si>
  <si>
    <t>드림박스</t>
  </si>
  <si>
    <t>0812319</t>
  </si>
  <si>
    <t>드림하트</t>
  </si>
  <si>
    <t>0818570</t>
  </si>
  <si>
    <t>디디디랩(DDD LAB)</t>
  </si>
  <si>
    <t>0818351</t>
  </si>
  <si>
    <t>디브스튜디오</t>
  </si>
  <si>
    <t>0818261</t>
  </si>
  <si>
    <t>디스톤유니버스</t>
  </si>
  <si>
    <t>0813305</t>
  </si>
  <si>
    <t>디씨에이</t>
  </si>
  <si>
    <t>0810864</t>
  </si>
  <si>
    <t>디앤에프조이필/라이프</t>
  </si>
  <si>
    <t>0818075</t>
  </si>
  <si>
    <t>디어드리머</t>
  </si>
  <si>
    <t>0817976</t>
  </si>
  <si>
    <t>디에스리테일(직매입)</t>
  </si>
  <si>
    <t>0818092</t>
  </si>
  <si>
    <t>디에스리테일/PB</t>
  </si>
  <si>
    <t>0814328</t>
  </si>
  <si>
    <t>디에이(주)</t>
  </si>
  <si>
    <t>0817916</t>
  </si>
  <si>
    <t>디에이블</t>
  </si>
  <si>
    <t>0814014</t>
  </si>
  <si>
    <t>디자인가안채</t>
  </si>
  <si>
    <t>0803220</t>
  </si>
  <si>
    <t>디자인곰곰</t>
  </si>
  <si>
    <t>0818547</t>
  </si>
  <si>
    <t>디자인닷</t>
  </si>
  <si>
    <t>0806606</t>
  </si>
  <si>
    <t>디자인랩(레더랩)</t>
  </si>
  <si>
    <t>0810137</t>
  </si>
  <si>
    <t>디자인콤마비</t>
  </si>
  <si>
    <t>0807732</t>
  </si>
  <si>
    <t>디케이에스에이치코리아/LAMY</t>
  </si>
  <si>
    <t>0807944</t>
  </si>
  <si>
    <t>디피이</t>
  </si>
  <si>
    <t>0817664</t>
  </si>
  <si>
    <t>라운드</t>
  </si>
  <si>
    <t>0803176</t>
  </si>
  <si>
    <t>라이브워크</t>
  </si>
  <si>
    <t>0817670</t>
  </si>
  <si>
    <t>라인인터내셔널</t>
  </si>
  <si>
    <t>0817652</t>
  </si>
  <si>
    <t>락앤락</t>
  </si>
  <si>
    <t>0818637</t>
  </si>
  <si>
    <t>럭미라이키</t>
  </si>
  <si>
    <t>0803471</t>
  </si>
  <si>
    <t>레이테크코리아</t>
  </si>
  <si>
    <t>0818489</t>
  </si>
  <si>
    <t>루다컴퍼니</t>
  </si>
  <si>
    <t>0816902</t>
  </si>
  <si>
    <t>루메나(직매입)</t>
  </si>
  <si>
    <t>0800453</t>
  </si>
  <si>
    <t>루벤즈아트브러쉬(직매입)</t>
  </si>
  <si>
    <t>0815696</t>
  </si>
  <si>
    <t>룩옵티컬(광화문)</t>
  </si>
  <si>
    <t>0814912</t>
  </si>
  <si>
    <t>룸룸</t>
  </si>
  <si>
    <t>0817835</t>
  </si>
  <si>
    <t>룸솔트</t>
  </si>
  <si>
    <t>0818128</t>
  </si>
  <si>
    <t>류니</t>
  </si>
  <si>
    <t>0816828</t>
  </si>
  <si>
    <t>리버스</t>
  </si>
  <si>
    <t>0816019</t>
  </si>
  <si>
    <t>리버스카이</t>
  </si>
  <si>
    <t>0818556</t>
  </si>
  <si>
    <t>리아인터내셔널</t>
  </si>
  <si>
    <t>0815983</t>
  </si>
  <si>
    <t>리진</t>
  </si>
  <si>
    <t>0810038</t>
  </si>
  <si>
    <t>리치몬트코리아(직매입)</t>
  </si>
  <si>
    <t>0817982</t>
  </si>
  <si>
    <t>마롱즈</t>
  </si>
  <si>
    <t>마이누</t>
  </si>
  <si>
    <t>0815679</t>
  </si>
  <si>
    <t>마이크로스톤</t>
  </si>
  <si>
    <t>0810204</t>
  </si>
  <si>
    <t>마인스/PB</t>
  </si>
  <si>
    <t>0817778</t>
  </si>
  <si>
    <t>매니어리틀</t>
  </si>
  <si>
    <t>0800651</t>
  </si>
  <si>
    <t>매표화학(직매입)</t>
  </si>
  <si>
    <t>0817113</t>
  </si>
  <si>
    <t>메미</t>
  </si>
  <si>
    <t>0806458</t>
  </si>
  <si>
    <t>메세</t>
  </si>
  <si>
    <t>0810217</t>
  </si>
  <si>
    <t>메탈투어</t>
  </si>
  <si>
    <t>0818415</t>
  </si>
  <si>
    <t>멜로디코리아(주)</t>
  </si>
  <si>
    <t>0815044</t>
  </si>
  <si>
    <t>멜로우어스</t>
  </si>
  <si>
    <t>0803288</t>
  </si>
  <si>
    <t>명성코리아</t>
  </si>
  <si>
    <t>0803833</t>
  </si>
  <si>
    <t>모나미</t>
  </si>
  <si>
    <t>0800666</t>
  </si>
  <si>
    <t>모나미(직매입)</t>
  </si>
  <si>
    <t>0818481</t>
  </si>
  <si>
    <t>모나미(직매입)/스타빌로</t>
  </si>
  <si>
    <t>0818480</t>
  </si>
  <si>
    <t>모나미(직매입)/톰보</t>
  </si>
  <si>
    <t>0813307</t>
  </si>
  <si>
    <t>모나미(직매입)/헨켈</t>
  </si>
  <si>
    <t>0818479</t>
  </si>
  <si>
    <t>모나미/몰스킨</t>
  </si>
  <si>
    <t>0818484</t>
  </si>
  <si>
    <t>모나미/워터맨</t>
  </si>
  <si>
    <t>0818483</t>
  </si>
  <si>
    <t>모나미/파카</t>
  </si>
  <si>
    <t>0803255</t>
  </si>
  <si>
    <t>모닝글로리</t>
  </si>
  <si>
    <t>0800908</t>
  </si>
  <si>
    <t>모닝글로리/PB</t>
  </si>
  <si>
    <t>0807001</t>
  </si>
  <si>
    <t>모닝글로리/디자인문구</t>
  </si>
  <si>
    <t>0817561</t>
  </si>
  <si>
    <t>모플</t>
  </si>
  <si>
    <t>0817826</t>
  </si>
  <si>
    <t>무신사트레이딩</t>
  </si>
  <si>
    <t>0810659</t>
  </si>
  <si>
    <t>문앤썬컴퍼니</t>
  </si>
  <si>
    <t>0816712</t>
  </si>
  <si>
    <t>문화제작소 가능성들</t>
  </si>
  <si>
    <t>0818436</t>
  </si>
  <si>
    <t>미니덕트</t>
  </si>
  <si>
    <t>0803242</t>
  </si>
  <si>
    <t>미니버스</t>
  </si>
  <si>
    <t>0818129</t>
  </si>
  <si>
    <t>미미디자인</t>
  </si>
  <si>
    <t>0800665</t>
  </si>
  <si>
    <t>미젤로(직매입)</t>
  </si>
  <si>
    <t>0817715</t>
  </si>
  <si>
    <t>민도비또</t>
  </si>
  <si>
    <t>0814585</t>
  </si>
  <si>
    <t>바나나코퍼레이션</t>
  </si>
  <si>
    <t>0817184</t>
  </si>
  <si>
    <t>바이림</t>
  </si>
  <si>
    <t>0817211</t>
  </si>
  <si>
    <t>바이림/PB</t>
  </si>
  <si>
    <t>0815576</t>
  </si>
  <si>
    <t>바이빅인터네셔널</t>
  </si>
  <si>
    <t>0803158</t>
  </si>
  <si>
    <t>바이풀디자인</t>
  </si>
  <si>
    <t>0817562</t>
  </si>
  <si>
    <t>반워크 코리아</t>
  </si>
  <si>
    <t>0816350</t>
  </si>
  <si>
    <t>배쓰프로젝트</t>
  </si>
  <si>
    <t>0817960</t>
  </si>
  <si>
    <t>베이직스</t>
  </si>
  <si>
    <t>0816853</t>
  </si>
  <si>
    <t>보보미</t>
  </si>
  <si>
    <t>0800683</t>
  </si>
  <si>
    <t>보성아이엔디(직매입)</t>
  </si>
  <si>
    <t>0817971</t>
  </si>
  <si>
    <t>불스원</t>
  </si>
  <si>
    <t>0803595</t>
  </si>
  <si>
    <t>브랜빌</t>
  </si>
  <si>
    <t>0817671</t>
  </si>
  <si>
    <t>비사이트</t>
  </si>
  <si>
    <t>0818368</t>
  </si>
  <si>
    <t>비앙캐릭</t>
  </si>
  <si>
    <t>0817368</t>
  </si>
  <si>
    <t>비엔에스인터내셔널</t>
  </si>
  <si>
    <t>0812633</t>
  </si>
  <si>
    <t>비핸즈/PB</t>
  </si>
  <si>
    <t>0803671</t>
  </si>
  <si>
    <t>빅터상사</t>
  </si>
  <si>
    <t>0816632</t>
  </si>
  <si>
    <t>뿅뿅닷컴</t>
  </si>
  <si>
    <t>0818364</t>
  </si>
  <si>
    <t>사오파오</t>
  </si>
  <si>
    <t>0800569</t>
  </si>
  <si>
    <t>산돌그림나라(직매입)</t>
  </si>
  <si>
    <t>0816368</t>
  </si>
  <si>
    <t>산타월드</t>
  </si>
  <si>
    <t>0803389</t>
  </si>
  <si>
    <t>삼보인터내셔날</t>
  </si>
  <si>
    <t>0815900</t>
  </si>
  <si>
    <t>삼봉</t>
  </si>
  <si>
    <t>0803689</t>
  </si>
  <si>
    <t>삼알</t>
  </si>
  <si>
    <t>0800424</t>
  </si>
  <si>
    <t>삼원페이퍼(직매입)</t>
  </si>
  <si>
    <t>0803620</t>
  </si>
  <si>
    <t>삼정파일스</t>
  </si>
  <si>
    <t>0811039</t>
  </si>
  <si>
    <t>삼정파일스/PB</t>
  </si>
  <si>
    <t>0817736</t>
  </si>
  <si>
    <t>샤론델</t>
  </si>
  <si>
    <t>0817958</t>
  </si>
  <si>
    <t>샤이몬스터</t>
  </si>
  <si>
    <t>0817017</t>
  </si>
  <si>
    <t>서스스토어</t>
  </si>
  <si>
    <t>0818598</t>
  </si>
  <si>
    <t>서울문화사</t>
  </si>
  <si>
    <t>0809891</t>
  </si>
  <si>
    <t>서흥아트</t>
  </si>
  <si>
    <t>0800669</t>
  </si>
  <si>
    <t>서흥아트/COPIC(직매입)</t>
  </si>
  <si>
    <t>0810880</t>
  </si>
  <si>
    <t>선흥오피스(직매입)</t>
  </si>
  <si>
    <t>0800921</t>
  </si>
  <si>
    <t>성창에프앤지/PB</t>
  </si>
  <si>
    <t>0811293</t>
  </si>
  <si>
    <t>세종몰</t>
  </si>
  <si>
    <t>0809250</t>
  </si>
  <si>
    <t>소소문구</t>
  </si>
  <si>
    <t>0818286</t>
  </si>
  <si>
    <t>소울피스</t>
  </si>
  <si>
    <t>0816010</t>
  </si>
  <si>
    <t>소원콘텐츠</t>
  </si>
  <si>
    <t>0817544</t>
  </si>
  <si>
    <t>소카모노</t>
  </si>
  <si>
    <t>0817922</t>
  </si>
  <si>
    <t>송송책방</t>
  </si>
  <si>
    <t>0803793</t>
  </si>
  <si>
    <t>송운사</t>
  </si>
  <si>
    <t>0817719</t>
  </si>
  <si>
    <t>쇼핑웍스</t>
  </si>
  <si>
    <t>0818310</t>
  </si>
  <si>
    <t>수미향</t>
  </si>
  <si>
    <t>0818465</t>
  </si>
  <si>
    <t>수아디오</t>
  </si>
  <si>
    <t>0818498</t>
  </si>
  <si>
    <t>수키도키(주)</t>
  </si>
  <si>
    <t>0817970</t>
  </si>
  <si>
    <t>스낵포</t>
  </si>
  <si>
    <t>0817100</t>
  </si>
  <si>
    <t>스너기스트20</t>
  </si>
  <si>
    <t>0815831</t>
  </si>
  <si>
    <t>스마일웍스</t>
  </si>
  <si>
    <t>0815887</t>
  </si>
  <si>
    <t>스위처스</t>
  </si>
  <si>
    <t>0815581</t>
  </si>
  <si>
    <t>스위트랩</t>
  </si>
  <si>
    <t>0813489</t>
  </si>
  <si>
    <t>스윗드림</t>
  </si>
  <si>
    <t>0817455</t>
  </si>
  <si>
    <t>스탁스</t>
  </si>
  <si>
    <t>0803130</t>
  </si>
  <si>
    <t>스테들러코리아</t>
  </si>
  <si>
    <t>0800502</t>
  </si>
  <si>
    <t>스테들러코리아(직매입)</t>
  </si>
  <si>
    <t>0807954</t>
  </si>
  <si>
    <t>스테들러코리아/프리미엄</t>
  </si>
  <si>
    <t>0815360</t>
  </si>
  <si>
    <t>스테이24</t>
  </si>
  <si>
    <t>0813370</t>
  </si>
  <si>
    <t>스토리너스</t>
  </si>
  <si>
    <t>0817794</t>
  </si>
  <si>
    <t>스튜디오 스몰스</t>
  </si>
  <si>
    <t>0800404</t>
  </si>
  <si>
    <t>시스맥스(직매입)</t>
  </si>
  <si>
    <t>0818624</t>
  </si>
  <si>
    <t>시이닷</t>
  </si>
  <si>
    <t>0817542</t>
  </si>
  <si>
    <t>시칠리테이블/PB</t>
  </si>
  <si>
    <t>0800631</t>
  </si>
  <si>
    <t>시트앤데코(직매입)</t>
  </si>
  <si>
    <t>0803131</t>
  </si>
  <si>
    <t>신한커머스</t>
  </si>
  <si>
    <t>0800521</t>
  </si>
  <si>
    <t>신한커머스(직매입)</t>
  </si>
  <si>
    <t>0813805</t>
  </si>
  <si>
    <t>신한커머스/CROSS</t>
  </si>
  <si>
    <t>신한커머스/로디아</t>
  </si>
  <si>
    <t>0813806</t>
  </si>
  <si>
    <t>신한커머스/쉐퍼</t>
  </si>
  <si>
    <t>0813804</t>
  </si>
  <si>
    <t>신한커머스/오로라</t>
  </si>
  <si>
    <t>0803820</t>
  </si>
  <si>
    <t>신한커머스/펠리칸</t>
  </si>
  <si>
    <t>0813803</t>
  </si>
  <si>
    <t>신한커머스/플래티넘</t>
  </si>
  <si>
    <t>0800568</t>
  </si>
  <si>
    <t>신한화구(직매입)</t>
  </si>
  <si>
    <t>0810663</t>
  </si>
  <si>
    <t>신한화구(직매입)/마카</t>
  </si>
  <si>
    <t>0817765</t>
  </si>
  <si>
    <t>썸무드 디자인(직매입)/인터넷</t>
  </si>
  <si>
    <t>0817911</t>
  </si>
  <si>
    <t>썸코리아</t>
  </si>
  <si>
    <t>0816656</t>
  </si>
  <si>
    <t>쏘아</t>
  </si>
  <si>
    <t>0818541</t>
  </si>
  <si>
    <t>쓰리어클락</t>
  </si>
  <si>
    <t>0815948</t>
  </si>
  <si>
    <t>씨믹스(직매입)</t>
  </si>
  <si>
    <t>0803144</t>
  </si>
  <si>
    <t>씨케이세일즈</t>
  </si>
  <si>
    <t>0803125</t>
  </si>
  <si>
    <t>아람상사</t>
  </si>
  <si>
    <t>0818091</t>
  </si>
  <si>
    <t>아모네/PB</t>
  </si>
  <si>
    <t>0816677</t>
  </si>
  <si>
    <t>아모르 아셀라</t>
  </si>
  <si>
    <t>0800588</t>
  </si>
  <si>
    <t>아모스(직매입)</t>
  </si>
  <si>
    <t>0815347</t>
  </si>
  <si>
    <t>아브젝시옹</t>
  </si>
  <si>
    <t>0814021</t>
  </si>
  <si>
    <t>아오라</t>
  </si>
  <si>
    <t>0817969</t>
  </si>
  <si>
    <t>아워스</t>
  </si>
  <si>
    <t>0816373</t>
  </si>
  <si>
    <t>아이버스터/PB</t>
  </si>
  <si>
    <t>0800334</t>
  </si>
  <si>
    <t>아이비스코리아</t>
  </si>
  <si>
    <t>0811642</t>
  </si>
  <si>
    <t>아이씨엘</t>
  </si>
  <si>
    <t>아이코닉디자인</t>
  </si>
  <si>
    <t>0815718</t>
  </si>
  <si>
    <t>아이티로그인</t>
  </si>
  <si>
    <t>0817478</t>
  </si>
  <si>
    <t>아이피즈</t>
  </si>
  <si>
    <t>0810846</t>
  </si>
  <si>
    <t>아이한코</t>
  </si>
  <si>
    <t>0810348</t>
  </si>
  <si>
    <t>아인텍코퍼레이션</t>
  </si>
  <si>
    <t>0817039</t>
  </si>
  <si>
    <t>아카이브0926</t>
  </si>
  <si>
    <t>0803124</t>
  </si>
  <si>
    <t>아톰상사/APICA</t>
  </si>
  <si>
    <t>0809257</t>
  </si>
  <si>
    <t>아톰상사/ONLINE</t>
  </si>
  <si>
    <t>0800448</t>
  </si>
  <si>
    <t>아톰상사/직(직매입)</t>
  </si>
  <si>
    <t>0800449</t>
  </si>
  <si>
    <t>아톰상사/특(직매입)</t>
  </si>
  <si>
    <t>0800515</t>
  </si>
  <si>
    <t>아톰상사/화방(직매입)</t>
  </si>
  <si>
    <t>0813216</t>
  </si>
  <si>
    <t>아트박스/애드인(광화문)</t>
  </si>
  <si>
    <t>0813217</t>
  </si>
  <si>
    <t>0814041</t>
  </si>
  <si>
    <t>아트브러쉬</t>
  </si>
  <si>
    <t>0803414</t>
  </si>
  <si>
    <t>아트사인</t>
  </si>
  <si>
    <t>0815101</t>
  </si>
  <si>
    <t>아트앤오피스</t>
  </si>
  <si>
    <t>0803321</t>
  </si>
  <si>
    <t>아프로캣</t>
  </si>
  <si>
    <t>0800416</t>
  </si>
  <si>
    <t>알파색채(직매입)</t>
  </si>
  <si>
    <t>0814152</t>
  </si>
  <si>
    <t>앙블랑코리아</t>
  </si>
  <si>
    <t>0817037</t>
  </si>
  <si>
    <t>앞썬아이앤씨(직매입)</t>
  </si>
  <si>
    <t>0816032</t>
  </si>
  <si>
    <t>애꼼</t>
  </si>
  <si>
    <t>0809112</t>
  </si>
  <si>
    <t>양지사</t>
  </si>
  <si>
    <t>0800594</t>
  </si>
  <si>
    <t>양지사(직매입)</t>
  </si>
  <si>
    <t>0814281</t>
  </si>
  <si>
    <t>양지사(직매입)/연도</t>
  </si>
  <si>
    <t>0816321</t>
  </si>
  <si>
    <t>양지사/디지털</t>
  </si>
  <si>
    <t>0818605</t>
  </si>
  <si>
    <t>에고이즘</t>
  </si>
  <si>
    <t>0814242</t>
  </si>
  <si>
    <t>에버그린푸드</t>
  </si>
  <si>
    <t>0817538</t>
  </si>
  <si>
    <t>에센시에르</t>
  </si>
  <si>
    <t>0816802</t>
  </si>
  <si>
    <t>에스앤디</t>
  </si>
  <si>
    <t>에스앤에스테크놀로지</t>
  </si>
  <si>
    <t>0813273</t>
  </si>
  <si>
    <t>에스앤케이종이배카드</t>
  </si>
  <si>
    <t>0813421</t>
  </si>
  <si>
    <t>에스엠 웍스(직매입)/소모품</t>
  </si>
  <si>
    <t>0809139</t>
  </si>
  <si>
    <t>에스티아이모바일</t>
  </si>
  <si>
    <t>0816460</t>
  </si>
  <si>
    <t>에이비엔디</t>
  </si>
  <si>
    <t>0800446</t>
  </si>
  <si>
    <t>에이에스코리아(직매입)</t>
  </si>
  <si>
    <t>0814121</t>
  </si>
  <si>
    <t>에이제로레더</t>
  </si>
  <si>
    <t>0812019</t>
  </si>
  <si>
    <t>에이치아이 디자인</t>
  </si>
  <si>
    <t>0817514</t>
  </si>
  <si>
    <t>에코레시피</t>
  </si>
  <si>
    <t>0809234</t>
  </si>
  <si>
    <t>에코솔</t>
  </si>
  <si>
    <t>0815567</t>
  </si>
  <si>
    <t>엔세임</t>
  </si>
  <si>
    <t>0817084</t>
  </si>
  <si>
    <t>엔에이치엔위투</t>
  </si>
  <si>
    <t>0812211</t>
  </si>
  <si>
    <t>엘바카코</t>
  </si>
  <si>
    <t>0818005</t>
  </si>
  <si>
    <t>열깨</t>
  </si>
  <si>
    <t>0809167</t>
  </si>
  <si>
    <t>예명인터내셔날</t>
  </si>
  <si>
    <t>0816702</t>
  </si>
  <si>
    <t>오니프</t>
  </si>
  <si>
    <t>0818273</t>
  </si>
  <si>
    <t>오두리</t>
  </si>
  <si>
    <t>0817870</t>
  </si>
  <si>
    <t>오렌즈 교보문고 광화문점</t>
  </si>
  <si>
    <t>0800398</t>
  </si>
  <si>
    <t>오롬</t>
  </si>
  <si>
    <t>0806732</t>
  </si>
  <si>
    <t>오르골하우스</t>
  </si>
  <si>
    <t>0813526</t>
  </si>
  <si>
    <t>오엠이</t>
  </si>
  <si>
    <t>0817260</t>
  </si>
  <si>
    <t>오엠이(직매입)/인터넷</t>
  </si>
  <si>
    <t>0815575</t>
  </si>
  <si>
    <t>오케이코리아</t>
  </si>
  <si>
    <t>0816571</t>
  </si>
  <si>
    <t>오픈도어</t>
  </si>
  <si>
    <t>0812917</t>
  </si>
  <si>
    <t>옵티머스솔루션스</t>
  </si>
  <si>
    <t>0817772</t>
  </si>
  <si>
    <t>와꾸와꾸</t>
  </si>
  <si>
    <t>0815964</t>
  </si>
  <si>
    <t>와이즈드리머</t>
  </si>
  <si>
    <t>0800709</t>
  </si>
  <si>
    <t>와이티인터내셔날(직매입)</t>
  </si>
  <si>
    <t>0817902</t>
  </si>
  <si>
    <t>왠지</t>
  </si>
  <si>
    <t>0800604</t>
  </si>
  <si>
    <t>우진정공사(직매입)</t>
  </si>
  <si>
    <t>0803819</t>
  </si>
  <si>
    <t>워너디스</t>
  </si>
  <si>
    <t>0814780</t>
  </si>
  <si>
    <t>워터멜론컴퍼니</t>
  </si>
  <si>
    <t>0809860</t>
  </si>
  <si>
    <t>워프/캡슐토이</t>
  </si>
  <si>
    <t>0816224</t>
  </si>
  <si>
    <t>원진</t>
  </si>
  <si>
    <t>0815454</t>
  </si>
  <si>
    <t>원트/PB</t>
  </si>
  <si>
    <t>0817447</t>
  </si>
  <si>
    <t>원플디자인</t>
  </si>
  <si>
    <t>0811114</t>
  </si>
  <si>
    <t>웨이무역/까렌다쉬</t>
  </si>
  <si>
    <t>0817757</t>
  </si>
  <si>
    <t>웨이무역/에스터브룩</t>
  </si>
  <si>
    <t>0803229</t>
  </si>
  <si>
    <t>웨이크업(wakup)</t>
  </si>
  <si>
    <t>0803080</t>
  </si>
  <si>
    <t>위드에버상사</t>
  </si>
  <si>
    <t>0817257</t>
  </si>
  <si>
    <t>위플릿/PB</t>
  </si>
  <si>
    <t>0815578</t>
  </si>
  <si>
    <t>윈브릿지/PB</t>
  </si>
  <si>
    <t>0809906</t>
  </si>
  <si>
    <t>윈스타</t>
  </si>
  <si>
    <t>0817418</t>
  </si>
  <si>
    <t>윙크</t>
  </si>
  <si>
    <t>0814110</t>
  </si>
  <si>
    <t>유니아트</t>
  </si>
  <si>
    <t>0810866</t>
  </si>
  <si>
    <t>유어파트너</t>
  </si>
  <si>
    <t>0818496</t>
  </si>
  <si>
    <t>유잼커머스</t>
  </si>
  <si>
    <t>0817594</t>
  </si>
  <si>
    <t>유하유통</t>
  </si>
  <si>
    <t>0816423</t>
  </si>
  <si>
    <t>윤니도예공방</t>
  </si>
  <si>
    <t>0817673</t>
  </si>
  <si>
    <t>이감각/PB</t>
  </si>
  <si>
    <t>0815455</t>
  </si>
  <si>
    <t>이노굿즈</t>
  </si>
  <si>
    <t>0817978</t>
  </si>
  <si>
    <t>이소당</t>
  </si>
  <si>
    <t>0817246</t>
  </si>
  <si>
    <t>이슬라글로벌</t>
  </si>
  <si>
    <t>0818374</t>
  </si>
  <si>
    <t>이와토코리아</t>
  </si>
  <si>
    <t>0818606</t>
  </si>
  <si>
    <t>이음상회</t>
  </si>
  <si>
    <t>0809531</t>
  </si>
  <si>
    <t>인도사이다</t>
  </si>
  <si>
    <t>0806456</t>
  </si>
  <si>
    <t>인시즌(연도)</t>
  </si>
  <si>
    <t>0817152</t>
  </si>
  <si>
    <t>인싱글즈</t>
  </si>
  <si>
    <t>0813008</t>
  </si>
  <si>
    <t>일양코포레이션</t>
  </si>
  <si>
    <t>0816982</t>
  </si>
  <si>
    <t>잇츠유어프라임타임</t>
  </si>
  <si>
    <t>0818561</t>
  </si>
  <si>
    <t>자연우리</t>
  </si>
  <si>
    <t>0813163</t>
  </si>
  <si>
    <t>자우버</t>
  </si>
  <si>
    <t>0803268</t>
  </si>
  <si>
    <t>잼스튜디오</t>
  </si>
  <si>
    <t>0818558</t>
  </si>
  <si>
    <t>제노리</t>
  </si>
  <si>
    <t>0811372</t>
  </si>
  <si>
    <t>제로라인</t>
  </si>
  <si>
    <t>0816697</t>
  </si>
  <si>
    <t>제로지텍</t>
  </si>
  <si>
    <t>0817155</t>
  </si>
  <si>
    <t>제로퍼제로</t>
  </si>
  <si>
    <t>0800619</t>
  </si>
  <si>
    <t>제이디아이무역(직매입)</t>
  </si>
  <si>
    <t>0812841</t>
  </si>
  <si>
    <t>제이비와이코리아</t>
  </si>
  <si>
    <t>0814438</t>
  </si>
  <si>
    <t>제이컴바인드</t>
  </si>
  <si>
    <t>0812581</t>
  </si>
  <si>
    <t>제이케이엠디자인</t>
  </si>
  <si>
    <t>0816230</t>
  </si>
  <si>
    <t>젤리젤로</t>
  </si>
  <si>
    <t>0816851</t>
  </si>
  <si>
    <t>젤시스</t>
  </si>
  <si>
    <t>0800630</t>
  </si>
  <si>
    <t>종이나라(직매입)</t>
  </si>
  <si>
    <t>0803003</t>
  </si>
  <si>
    <t>주성티엔씨</t>
  </si>
  <si>
    <t>0816706</t>
  </si>
  <si>
    <t>준원굿스(직매입)</t>
  </si>
  <si>
    <t>0818477</t>
  </si>
  <si>
    <t>지혜로운</t>
  </si>
  <si>
    <t>0812444</t>
  </si>
  <si>
    <t>지혜의샘터/PB</t>
  </si>
  <si>
    <t>0800586</t>
  </si>
  <si>
    <t>짐모아(직매입)　</t>
  </si>
  <si>
    <t>0811029</t>
  </si>
  <si>
    <t>참돌</t>
  </si>
  <si>
    <t>0817678</t>
  </si>
  <si>
    <t>책과인쇄박물관/PB</t>
  </si>
  <si>
    <t>0818206</t>
  </si>
  <si>
    <t>천하우스</t>
  </si>
  <si>
    <t>0810509</t>
  </si>
  <si>
    <t>청운</t>
  </si>
  <si>
    <t>칠삼이일디자인</t>
  </si>
  <si>
    <t>0814915</t>
  </si>
  <si>
    <t>카라한</t>
  </si>
  <si>
    <t>0813286</t>
  </si>
  <si>
    <t>카렉스</t>
  </si>
  <si>
    <t>0817760</t>
  </si>
  <si>
    <t>카인드웹</t>
  </si>
  <si>
    <t>0814978</t>
  </si>
  <si>
    <t>카카룰루</t>
  </si>
  <si>
    <t>0800455</t>
  </si>
  <si>
    <t>카파맥스(직매입)</t>
  </si>
  <si>
    <t>0817141</t>
  </si>
  <si>
    <t>커먼누보</t>
  </si>
  <si>
    <t>케이아트컴퍼니</t>
  </si>
  <si>
    <t>0803126</t>
  </si>
  <si>
    <t>케이원인터내셔날</t>
  </si>
  <si>
    <t>0818371</t>
  </si>
  <si>
    <t>케이키월드</t>
  </si>
  <si>
    <t>0811086</t>
  </si>
  <si>
    <t>케이페이퍼</t>
  </si>
  <si>
    <t>0818130</t>
  </si>
  <si>
    <t>코넛</t>
  </si>
  <si>
    <t>0807128</t>
  </si>
  <si>
    <t>코모스유통/그라폰파버카스텔</t>
  </si>
  <si>
    <t>0803120</t>
  </si>
  <si>
    <t>코모스유통/그래픽</t>
  </si>
  <si>
    <t>0803789</t>
  </si>
  <si>
    <t>코모스유통/디자인라인</t>
  </si>
  <si>
    <t>0817227</t>
  </si>
  <si>
    <t>코스틱폼텍</t>
  </si>
  <si>
    <t>0803342</t>
  </si>
  <si>
    <t>코즈모갤러리</t>
  </si>
  <si>
    <t>0814491</t>
  </si>
  <si>
    <t>코쿼드</t>
  </si>
  <si>
    <t>0816134</t>
  </si>
  <si>
    <t>콜리</t>
  </si>
  <si>
    <t>0815740</t>
  </si>
  <si>
    <t>콤비니</t>
  </si>
  <si>
    <t>0818540</t>
  </si>
  <si>
    <t>큐어싱</t>
  </si>
  <si>
    <t>0818548</t>
  </si>
  <si>
    <t>키오스크키오스크</t>
  </si>
  <si>
    <t>0817325</t>
  </si>
  <si>
    <t>킴스미</t>
  </si>
  <si>
    <t>0813084</t>
  </si>
  <si>
    <t>투엘미디어/PB</t>
  </si>
  <si>
    <t>0816593</t>
  </si>
  <si>
    <t>툴러</t>
  </si>
  <si>
    <t>0818555</t>
  </si>
  <si>
    <t>트레이드메이커</t>
  </si>
  <si>
    <t>0810489</t>
  </si>
  <si>
    <t>티곰</t>
  </si>
  <si>
    <t>0811130</t>
  </si>
  <si>
    <t>티베이시스</t>
  </si>
  <si>
    <t>0817773</t>
  </si>
  <si>
    <t>파앤이스트</t>
  </si>
  <si>
    <t>0800403</t>
  </si>
  <si>
    <t>판교(직매입)</t>
  </si>
  <si>
    <t>0817665</t>
  </si>
  <si>
    <t>팔팔토이</t>
  </si>
  <si>
    <t>0811723</t>
  </si>
  <si>
    <t>퍼니디</t>
  </si>
  <si>
    <t>0803156</t>
  </si>
  <si>
    <t>펄스일렉트로닉스</t>
  </si>
  <si>
    <t>0813689</t>
  </si>
  <si>
    <t>페이블렛</t>
  </si>
  <si>
    <t>0817472</t>
  </si>
  <si>
    <t>페이퍼즈</t>
  </si>
  <si>
    <t>페펜스튜디오</t>
  </si>
  <si>
    <t>0818553</t>
  </si>
  <si>
    <t>포단코</t>
  </si>
  <si>
    <t>0818292</t>
  </si>
  <si>
    <t>포브인터내셔날</t>
  </si>
  <si>
    <t>0807009</t>
  </si>
  <si>
    <t>포비월드</t>
  </si>
  <si>
    <t>0817848</t>
  </si>
  <si>
    <t>포이어</t>
  </si>
  <si>
    <t>0806772</t>
  </si>
  <si>
    <t>포춘쿠키</t>
  </si>
  <si>
    <t>0800653</t>
  </si>
  <si>
    <t>포코스(직매입)</t>
  </si>
  <si>
    <t>0816922</t>
  </si>
  <si>
    <t>폴프랜즈</t>
  </si>
  <si>
    <t>0814662</t>
  </si>
  <si>
    <t>푸드네츄럴(주)</t>
  </si>
  <si>
    <t>0806834</t>
  </si>
  <si>
    <t>프라임위너스</t>
  </si>
  <si>
    <t>0817680</t>
  </si>
  <si>
    <t>프래그</t>
  </si>
  <si>
    <t>0810510</t>
  </si>
  <si>
    <t>프랭클린플래너코리아</t>
  </si>
  <si>
    <t>0803527</t>
  </si>
  <si>
    <t>프론티어통상</t>
  </si>
  <si>
    <t>0812624</t>
  </si>
  <si>
    <t>프롱</t>
  </si>
  <si>
    <t>0818249</t>
  </si>
  <si>
    <t>프롱(주)</t>
  </si>
  <si>
    <t>0817917</t>
  </si>
  <si>
    <t>프롱/젤리</t>
  </si>
  <si>
    <t>0809235</t>
  </si>
  <si>
    <t>플랜디/지유</t>
  </si>
  <si>
    <t>0816491</t>
  </si>
  <si>
    <t>플랜룩스</t>
  </si>
  <si>
    <t>0806721</t>
  </si>
  <si>
    <t>플레이오브제디자인그룹</t>
  </si>
  <si>
    <t>0815650</t>
  </si>
  <si>
    <t>플림</t>
  </si>
  <si>
    <t>0816631</t>
  </si>
  <si>
    <t>피아뜨의 오묘한상점</t>
  </si>
  <si>
    <t>0817218</t>
  </si>
  <si>
    <t>피앤에스/PB</t>
  </si>
  <si>
    <t>0818623</t>
  </si>
  <si>
    <t>피어콘텐츠(주)</t>
  </si>
  <si>
    <t>0816295</t>
  </si>
  <si>
    <t>피치플럼/웍스라이프</t>
  </si>
  <si>
    <t>0803139</t>
  </si>
  <si>
    <t>피티코퍼레이션</t>
  </si>
  <si>
    <t>0812811</t>
  </si>
  <si>
    <t>피티코퍼레이션/단순생활</t>
  </si>
  <si>
    <t>0817109</t>
  </si>
  <si>
    <t>피티코퍼레이션/빅키드</t>
  </si>
  <si>
    <t>0815960</t>
  </si>
  <si>
    <t>피플래닛</t>
  </si>
  <si>
    <t>0817991</t>
  </si>
  <si>
    <t>하리오코리아(직매입)</t>
  </si>
  <si>
    <t>0817159</t>
  </si>
  <si>
    <t>하얀잡화점</t>
  </si>
  <si>
    <t>0813166</t>
  </si>
  <si>
    <t>하우키즈풀</t>
  </si>
  <si>
    <t>0818614</t>
  </si>
  <si>
    <t>하이라이트브랜즈</t>
  </si>
  <si>
    <t>0807496</t>
  </si>
  <si>
    <t>하이원스</t>
  </si>
  <si>
    <t>0807447</t>
  </si>
  <si>
    <t>하이트레이드</t>
  </si>
  <si>
    <t>0817975</t>
  </si>
  <si>
    <t>하입웨이브</t>
  </si>
  <si>
    <t>학산문화사</t>
  </si>
  <si>
    <t>0817304</t>
  </si>
  <si>
    <t>한국파이롯트(문보장)</t>
  </si>
  <si>
    <t>0815165</t>
  </si>
  <si>
    <t>한국파이롯트(직매입)</t>
  </si>
  <si>
    <t>0814762</t>
  </si>
  <si>
    <t>한국화이트산업(직매입)</t>
  </si>
  <si>
    <t>0811137</t>
  </si>
  <si>
    <t>한양오티에스(직매입)</t>
  </si>
  <si>
    <t>0816883</t>
  </si>
  <si>
    <t>한울 농업회사법인</t>
  </si>
  <si>
    <t>0800684</t>
  </si>
  <si>
    <t>한은페이퍼(직매입)</t>
  </si>
  <si>
    <t>0800551</t>
  </si>
  <si>
    <t>한지로(직매입)</t>
  </si>
  <si>
    <t>0800504</t>
  </si>
  <si>
    <t>항소(직매입)/T</t>
  </si>
  <si>
    <t>0800692</t>
  </si>
  <si>
    <t>항소(직매입)/스타빌로</t>
  </si>
  <si>
    <t>0803785</t>
  </si>
  <si>
    <t>항소/몰스킨</t>
  </si>
  <si>
    <t>0813453</t>
  </si>
  <si>
    <t>항소워터맨</t>
  </si>
  <si>
    <t>0813452</t>
  </si>
  <si>
    <t>항소파카</t>
  </si>
  <si>
    <t>0816166</t>
  </si>
  <si>
    <t>해밀</t>
  </si>
  <si>
    <t>0817897</t>
  </si>
  <si>
    <t>해피퍼즐</t>
  </si>
  <si>
    <t>0811719</t>
  </si>
  <si>
    <t>핸드허그</t>
  </si>
  <si>
    <t>0818461</t>
  </si>
  <si>
    <t>핸즈</t>
  </si>
  <si>
    <t>0809082</t>
  </si>
  <si>
    <t>헤븐센스컴퍼니</t>
  </si>
  <si>
    <t>0817675</t>
  </si>
  <si>
    <t>헤이프</t>
  </si>
  <si>
    <t>0817746</t>
  </si>
  <si>
    <t>헥사곤무역산업</t>
  </si>
  <si>
    <t>0816745</t>
  </si>
  <si>
    <t>현미온미</t>
  </si>
  <si>
    <t>0800438</t>
  </si>
  <si>
    <t>현진아트(직매입)</t>
  </si>
  <si>
    <t>0814567</t>
  </si>
  <si>
    <t>혜인건강</t>
  </si>
  <si>
    <t>0817028</t>
  </si>
  <si>
    <t>화랑/PB</t>
  </si>
  <si>
    <t>0817192</t>
  </si>
  <si>
    <t>화인에듀</t>
  </si>
  <si>
    <t>0815086</t>
  </si>
  <si>
    <t>히히클럽</t>
  </si>
  <si>
    <t>총 개수</t>
  </si>
  <si>
    <t>493건</t>
  </si>
  <si>
    <t>더토브</t>
    <phoneticPr fontId="2" type="noConversion"/>
  </si>
  <si>
    <t>0818620</t>
    <phoneticPr fontId="2" type="noConversion"/>
  </si>
  <si>
    <t>*더토브는(구 해피썬) 2/22일자로 신규신청함</t>
    <phoneticPr fontId="2" type="noConversion"/>
  </si>
  <si>
    <t>0818498</t>
    <phoneticPr fontId="2" type="noConversion"/>
  </si>
  <si>
    <t>25년 11월 철수 업체 : 모먼트디자인</t>
    <phoneticPr fontId="2" type="noConversion"/>
  </si>
  <si>
    <t>25년 12월 매입처코드 변경 : 081644 수키도키 &gt; 0818498 수키도키</t>
    <phoneticPr fontId="2" type="noConversion"/>
  </si>
  <si>
    <t>26년 02월 매입처이관 : 0817135 해피썬에서 0818620 더토브로 변경</t>
    <phoneticPr fontId="2" type="noConversion"/>
  </si>
  <si>
    <t>케이디코퍼레이션(구,오첵)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</si>
</sst>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1" formatCode="_-* #,##0_-;\-* #,##0_-;_-* &quot;-&quot;_-;_-@_-"/>
    <numFmt numFmtId="176" formatCode="#,##0_ "/>
    <numFmt numFmtId="177" formatCode="0.0%"/>
    <numFmt numFmtId="178" formatCode="mm&quot;월&quot;\ dd&quot;일&quot;"/>
    <numFmt numFmtId="179" formatCode="_ * #,##0_ ;_ * \-#,##0_ ;_ * &quot;-&quot;_ ;_ @_ "/>
    <numFmt numFmtId="180" formatCode="_ * #,##0.00_ ;_ * \-#,##0.00_ ;_ * &quot;-&quot;??_ ;_ @_ "/>
    <numFmt numFmtId="181" formatCode="_-* #,##0.0_-;\-* #,##0.0_-;_-* &quot;-&quot;_-;_-@_-"/>
    <numFmt numFmtId="182" formatCode="_-* #,##0_-;&quot;₩&quot;&quot;₩&quot;\-* #,##0_-;_-* &quot;-&quot;_-;_-@_-"/>
    <numFmt numFmtId="183" formatCode="#,##0;&quot;₩&quot;&quot;₩&quot;\(#,##0&quot;₩&quot;&quot;₩&quot;\)"/>
    <numFmt numFmtId="184" formatCode="&quot;₩&quot;#,##0.00;[Red]&quot;₩&quot;\-&quot;₩&quot;#,##0.00"/>
    <numFmt numFmtId="185" formatCode="_-&quot;₩&quot;* #,##0_-;&quot;₩&quot;\-&quot;₩&quot;* #,##0_-;_-&quot;₩&quot;* &quot;-&quot;_-;_-@_-"/>
    <numFmt numFmtId="186" formatCode="#,##0_);[Red]\(#,##0\)"/>
    <numFmt numFmtId="191" formatCode="#0.#0%"/>
  </numFmts>
  <fonts count="4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2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Arial"/>
      <family val="2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2"/>
      <name val="바탕체"/>
      <family val="1"/>
      <charset val="129"/>
    </font>
    <font>
      <sz val="10"/>
      <name val="Helv"/>
      <family val="2"/>
    </font>
    <font>
      <sz val="10"/>
      <color indexed="8"/>
      <name val="MS Sans Serif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0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8"/>
      <color rgb="FF414E5C"/>
      <name val="돋움"/>
      <family val="3"/>
      <charset val="129"/>
    </font>
    <font>
      <b/>
      <sz val="10"/>
      <color rgb="FF414E5C"/>
      <name val="돋움"/>
      <family val="3"/>
      <charset val="129"/>
    </font>
    <font>
      <b/>
      <sz val="8"/>
      <color rgb="FF414E5C"/>
      <name val="돋움"/>
      <family val="3"/>
      <charset val="129"/>
    </font>
    <font>
      <b/>
      <sz val="9"/>
      <color rgb="FF6B7987"/>
      <name val="Tahoma"/>
      <family val="2"/>
    </font>
    <font>
      <sz val="9"/>
      <color theme="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EAEEE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06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25" borderId="9" applyNumberFormat="0" applyAlignment="0" applyProtection="0">
      <alignment vertical="center"/>
    </xf>
    <xf numFmtId="0" fontId="12" fillId="26" borderId="10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38" fontId="16" fillId="6" borderId="0" applyNumberFormat="0" applyBorder="0" applyAlignment="0" applyProtection="0"/>
    <xf numFmtId="0" fontId="17" fillId="0" borderId="11" applyNumberFormat="0" applyAlignment="0" applyProtection="0">
      <alignment horizontal="left" vertical="center"/>
    </xf>
    <xf numFmtId="0" fontId="17" fillId="0" borderId="8">
      <alignment horizontal="left"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9" applyNumberFormat="0" applyAlignment="0" applyProtection="0">
      <alignment vertical="center"/>
    </xf>
    <xf numFmtId="10" fontId="16" fillId="27" borderId="1" applyNumberFormat="0" applyBorder="0" applyAlignment="0" applyProtection="0"/>
    <xf numFmtId="0" fontId="21" fillId="12" borderId="9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181" fontId="7" fillId="0" borderId="0"/>
    <xf numFmtId="0" fontId="7" fillId="29" borderId="16" applyNumberFormat="0" applyFont="0" applyAlignment="0" applyProtection="0">
      <alignment vertical="center"/>
    </xf>
    <xf numFmtId="0" fontId="24" fillId="25" borderId="17" applyNumberFormat="0" applyAlignment="0" applyProtection="0">
      <alignment vertical="center"/>
    </xf>
    <xf numFmtId="10" fontId="13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/>
    <xf numFmtId="0" fontId="8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179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2" fontId="7" fillId="0" borderId="0" applyFont="0" applyFill="0" applyBorder="0" applyAlignment="0" applyProtection="0"/>
    <xf numFmtId="177" fontId="28" fillId="0" borderId="0" applyFont="0" applyFill="0" applyBorder="0" applyAlignment="0" applyProtection="0"/>
    <xf numFmtId="183" fontId="13" fillId="0" borderId="0"/>
    <xf numFmtId="0" fontId="13" fillId="0" borderId="0"/>
    <xf numFmtId="0" fontId="30" fillId="0" borderId="0"/>
    <xf numFmtId="40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/>
    <xf numFmtId="184" fontId="28" fillId="0" borderId="0" applyFont="0" applyFill="0" applyBorder="0" applyAlignment="0" applyProtection="0"/>
    <xf numFmtId="185" fontId="2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0" fontId="7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83" fontId="13" fillId="0" borderId="0"/>
    <xf numFmtId="41" fontId="7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0" fontId="7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3" fontId="13" fillId="0" borderId="0"/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41" fontId="7" fillId="0" borderId="0" applyFont="0" applyFill="0" applyBorder="0" applyAlignment="0" applyProtection="0">
      <alignment vertical="center"/>
    </xf>
    <xf numFmtId="183" fontId="13" fillId="0" borderId="0"/>
    <xf numFmtId="41" fontId="1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3" fontId="13" fillId="0" borderId="0"/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3" fontId="13" fillId="0" borderId="0"/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3" fontId="13" fillId="0" borderId="0"/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3" fontId="13" fillId="0" borderId="0"/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3" fontId="13" fillId="0" borderId="0"/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3" fontId="13" fillId="0" borderId="0"/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3" fontId="13" fillId="0" borderId="0"/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3" fontId="13" fillId="0" borderId="0"/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3" fontId="13" fillId="0" borderId="0"/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3" fontId="13" fillId="0" borderId="0"/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3" fontId="13" fillId="0" borderId="0"/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41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3" fontId="13" fillId="0" borderId="0"/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3" fontId="13" fillId="0" borderId="0"/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3" fontId="13" fillId="0" borderId="0"/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3" fontId="13" fillId="0" borderId="0"/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3" fontId="13" fillId="0" borderId="0"/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>
      <alignment vertical="center"/>
    </xf>
    <xf numFmtId="183" fontId="13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0" fontId="8" fillId="0" borderId="0">
      <alignment vertical="center"/>
    </xf>
    <xf numFmtId="0" fontId="7" fillId="0" borderId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0" fontId="8" fillId="0" borderId="0">
      <alignment vertical="center"/>
    </xf>
    <xf numFmtId="0" fontId="7" fillId="0" borderId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0" fontId="7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0" fontId="7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>
      <alignment vertical="center"/>
    </xf>
    <xf numFmtId="183" fontId="13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0" fontId="7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5" fillId="0" borderId="7" xfId="0" applyFont="1" applyBorder="1">
      <alignment vertical="center"/>
    </xf>
    <xf numFmtId="0" fontId="5" fillId="2" borderId="1" xfId="0" applyFont="1" applyFill="1" applyBorder="1">
      <alignment vertical="center"/>
    </xf>
    <xf numFmtId="41" fontId="0" fillId="0" borderId="0" xfId="1" applyFont="1">
      <alignment vertical="center"/>
    </xf>
    <xf numFmtId="0" fontId="5" fillId="0" borderId="0" xfId="0" applyFont="1">
      <alignment vertical="center"/>
    </xf>
    <xf numFmtId="0" fontId="0" fillId="5" borderId="0" xfId="0" applyFill="1">
      <alignment vertical="center"/>
    </xf>
    <xf numFmtId="41" fontId="4" fillId="5" borderId="1" xfId="4" applyFont="1" applyFill="1" applyBorder="1" applyAlignment="1">
      <alignment horizontal="center" vertical="center"/>
    </xf>
    <xf numFmtId="41" fontId="0" fillId="5" borderId="1" xfId="1" applyFont="1" applyFill="1" applyBorder="1">
      <alignment vertical="center"/>
    </xf>
    <xf numFmtId="41" fontId="34" fillId="30" borderId="19" xfId="3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186" fontId="4" fillId="5" borderId="1" xfId="1" applyNumberFormat="1" applyFont="1" applyFill="1" applyBorder="1" applyAlignment="1">
      <alignment horizontal="right" vertical="center"/>
    </xf>
    <xf numFmtId="186" fontId="4" fillId="5" borderId="1" xfId="0" applyNumberFormat="1" applyFont="1" applyFill="1" applyBorder="1" applyAlignment="1">
      <alignment horizontal="right" vertical="center" wrapText="1"/>
    </xf>
    <xf numFmtId="41" fontId="36" fillId="30" borderId="6" xfId="3" applyFont="1" applyFill="1" applyBorder="1" applyAlignment="1">
      <alignment horizontal="center" vertical="center" wrapText="1"/>
    </xf>
    <xf numFmtId="41" fontId="35" fillId="2" borderId="5" xfId="0" applyNumberFormat="1" applyFont="1" applyFill="1" applyBorder="1">
      <alignment vertical="center"/>
    </xf>
    <xf numFmtId="41" fontId="35" fillId="5" borderId="5" xfId="0" applyNumberFormat="1" applyFont="1" applyFill="1" applyBorder="1">
      <alignment vertical="center"/>
    </xf>
    <xf numFmtId="41" fontId="36" fillId="30" borderId="19" xfId="3" applyFont="1" applyFill="1" applyBorder="1" applyAlignment="1">
      <alignment horizontal="center" vertical="center" wrapText="1"/>
    </xf>
    <xf numFmtId="41" fontId="0" fillId="5" borderId="1" xfId="0" applyNumberFormat="1" applyFill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86" fontId="4" fillId="32" borderId="1" xfId="0" applyNumberFormat="1" applyFont="1" applyFill="1" applyBorder="1" applyAlignment="1">
      <alignment horizontal="right" vertical="center"/>
    </xf>
    <xf numFmtId="0" fontId="4" fillId="5" borderId="2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right" vertical="center" wrapText="1"/>
    </xf>
    <xf numFmtId="177" fontId="4" fillId="5" borderId="1" xfId="2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horizontal="right" vertical="center"/>
    </xf>
    <xf numFmtId="14" fontId="3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6" fillId="0" borderId="0" xfId="0" applyFont="1">
      <alignment vertical="center"/>
    </xf>
    <xf numFmtId="0" fontId="37" fillId="0" borderId="0" xfId="0" applyFont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177" fontId="6" fillId="5" borderId="1" xfId="2" applyNumberFormat="1" applyFont="1" applyFill="1" applyBorder="1">
      <alignment vertical="center"/>
    </xf>
    <xf numFmtId="177" fontId="37" fillId="5" borderId="1" xfId="2" applyNumberFormat="1" applyFont="1" applyFill="1" applyBorder="1" applyAlignment="1">
      <alignment horizontal="center" vertical="center"/>
    </xf>
    <xf numFmtId="9" fontId="6" fillId="0" borderId="0" xfId="2" applyFont="1" applyFill="1">
      <alignment vertical="center"/>
    </xf>
    <xf numFmtId="0" fontId="37" fillId="5" borderId="1" xfId="2" applyNumberFormat="1" applyFont="1" applyFill="1" applyBorder="1" applyAlignment="1">
      <alignment horizontal="center" vertical="center"/>
    </xf>
    <xf numFmtId="177" fontId="38" fillId="5" borderId="1" xfId="2" applyNumberFormat="1" applyFont="1" applyFill="1" applyBorder="1" applyAlignment="1">
      <alignment horizontal="center" vertical="center"/>
    </xf>
    <xf numFmtId="177" fontId="4" fillId="32" borderId="1" xfId="0" applyNumberFormat="1" applyFont="1" applyFill="1" applyBorder="1" applyAlignment="1">
      <alignment horizontal="center" vertical="center"/>
    </xf>
    <xf numFmtId="177" fontId="6" fillId="32" borderId="1" xfId="0" applyNumberFormat="1" applyFont="1" applyFill="1" applyBorder="1">
      <alignment vertical="center"/>
    </xf>
    <xf numFmtId="177" fontId="37" fillId="32" borderId="1" xfId="0" applyNumberFormat="1" applyFont="1" applyFill="1" applyBorder="1" applyAlignment="1">
      <alignment horizontal="center" vertical="center"/>
    </xf>
    <xf numFmtId="176" fontId="4" fillId="31" borderId="1" xfId="0" applyNumberFormat="1" applyFont="1" applyFill="1" applyBorder="1" applyAlignment="1">
      <alignment horizontal="right" vertical="center"/>
    </xf>
    <xf numFmtId="0" fontId="39" fillId="0" borderId="0" xfId="0" applyFont="1" applyAlignment="1">
      <alignment horizontal="left" vertical="center"/>
    </xf>
    <xf numFmtId="0" fontId="3" fillId="4" borderId="22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>
      <alignment vertical="center"/>
    </xf>
    <xf numFmtId="0" fontId="4" fillId="31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41" fontId="4" fillId="2" borderId="5" xfId="1" applyFont="1" applyFill="1" applyBorder="1" applyAlignment="1">
      <alignment horizontal="center" vertical="center"/>
    </xf>
    <xf numFmtId="41" fontId="4" fillId="2" borderId="6" xfId="1" applyFont="1" applyFill="1" applyBorder="1" applyAlignment="1">
      <alignment horizontal="center" vertical="center"/>
    </xf>
    <xf numFmtId="41" fontId="35" fillId="0" borderId="4" xfId="1" applyFont="1" applyBorder="1" applyAlignment="1">
      <alignment horizontal="center" vertical="center"/>
    </xf>
    <xf numFmtId="41" fontId="35" fillId="0" borderId="5" xfId="1" applyFont="1" applyBorder="1" applyAlignment="1">
      <alignment horizontal="center" vertical="center"/>
    </xf>
    <xf numFmtId="41" fontId="42" fillId="30" borderId="20" xfId="3" applyFont="1" applyFill="1" applyBorder="1" applyAlignment="1">
      <alignment horizontal="center" vertical="center"/>
    </xf>
    <xf numFmtId="41" fontId="42" fillId="30" borderId="28" xfId="3" applyFont="1" applyFill="1" applyBorder="1" applyAlignment="1">
      <alignment horizontal="center" vertical="center"/>
    </xf>
    <xf numFmtId="178" fontId="37" fillId="0" borderId="0" xfId="0" applyNumberFormat="1" applyFont="1" applyAlignment="1">
      <alignment horizontal="center" vertical="center"/>
    </xf>
    <xf numFmtId="0" fontId="37" fillId="0" borderId="0" xfId="0" applyFont="1">
      <alignment vertical="center"/>
    </xf>
    <xf numFmtId="49" fontId="43" fillId="33" borderId="30" xfId="0" applyNumberFormat="1" applyFont="1" applyFill="1" applyBorder="1" applyAlignment="1">
      <alignment horizontal="center" vertical="center"/>
    </xf>
    <xf numFmtId="49" fontId="43" fillId="33" borderId="31" xfId="0" applyNumberFormat="1" applyFont="1" applyFill="1" applyBorder="1" applyAlignment="1">
      <alignment horizontal="center" vertical="center"/>
    </xf>
    <xf numFmtId="49" fontId="43" fillId="33" borderId="3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43" fillId="0" borderId="30" xfId="0" applyNumberFormat="1" applyFont="1" applyBorder="1" applyAlignment="1">
      <alignment horizontal="center" vertical="center"/>
    </xf>
    <xf numFmtId="49" fontId="43" fillId="0" borderId="31" xfId="0" applyNumberFormat="1" applyFont="1" applyBorder="1" applyAlignment="1">
      <alignment horizontal="center" vertical="center"/>
    </xf>
    <xf numFmtId="49" fontId="43" fillId="0" borderId="32" xfId="0" applyNumberFormat="1" applyFont="1" applyBorder="1" applyAlignment="1">
      <alignment horizontal="center" vertical="center"/>
    </xf>
    <xf numFmtId="49" fontId="44" fillId="0" borderId="30" xfId="0" applyNumberFormat="1" applyFont="1" applyBorder="1" applyAlignment="1">
      <alignment horizontal="left" vertical="center"/>
    </xf>
    <xf numFmtId="49" fontId="44" fillId="0" borderId="31" xfId="0" applyNumberFormat="1" applyFont="1" applyBorder="1" applyAlignment="1">
      <alignment horizontal="left" vertical="center"/>
    </xf>
    <xf numFmtId="49" fontId="44" fillId="0" borderId="32" xfId="0" applyNumberFormat="1" applyFont="1" applyBorder="1" applyAlignment="1">
      <alignment horizontal="left" vertical="center"/>
    </xf>
    <xf numFmtId="49" fontId="45" fillId="0" borderId="30" xfId="0" applyNumberFormat="1" applyFont="1" applyBorder="1" applyAlignment="1">
      <alignment horizontal="center" vertical="center"/>
    </xf>
    <xf numFmtId="49" fontId="45" fillId="0" borderId="31" xfId="0" applyNumberFormat="1" applyFont="1" applyBorder="1" applyAlignment="1">
      <alignment horizontal="center" vertical="center"/>
    </xf>
    <xf numFmtId="49" fontId="45" fillId="0" borderId="32" xfId="0" applyNumberFormat="1" applyFont="1" applyBorder="1" applyAlignment="1">
      <alignment horizontal="center" vertical="center"/>
    </xf>
    <xf numFmtId="49" fontId="46" fillId="34" borderId="34" xfId="0" applyNumberFormat="1" applyFont="1" applyFill="1" applyBorder="1" applyAlignment="1">
      <alignment horizontal="center" vertical="center"/>
    </xf>
    <xf numFmtId="49" fontId="46" fillId="34" borderId="30" xfId="0" applyNumberFormat="1" applyFont="1" applyFill="1" applyBorder="1" applyAlignment="1">
      <alignment horizontal="center" vertical="center"/>
    </xf>
    <xf numFmtId="49" fontId="46" fillId="34" borderId="31" xfId="0" applyNumberFormat="1" applyFont="1" applyFill="1" applyBorder="1" applyAlignment="1">
      <alignment horizontal="center" vertical="center"/>
    </xf>
    <xf numFmtId="49" fontId="46" fillId="34" borderId="32" xfId="0" applyNumberFormat="1" applyFont="1" applyFill="1" applyBorder="1" applyAlignment="1">
      <alignment horizontal="center" vertical="center"/>
    </xf>
    <xf numFmtId="49" fontId="46" fillId="34" borderId="33" xfId="0" applyNumberFormat="1" applyFont="1" applyFill="1" applyBorder="1" applyAlignment="1">
      <alignment horizontal="center" vertical="center"/>
    </xf>
    <xf numFmtId="49" fontId="46" fillId="34" borderId="33" xfId="0" applyNumberFormat="1" applyFont="1" applyFill="1" applyBorder="1" applyAlignment="1">
      <alignment horizontal="center" vertical="center"/>
    </xf>
    <xf numFmtId="49" fontId="47" fillId="0" borderId="29" xfId="0" applyNumberFormat="1" applyFont="1" applyBorder="1" applyAlignment="1">
      <alignment horizontal="center" vertical="center"/>
    </xf>
    <xf numFmtId="49" fontId="47" fillId="0" borderId="29" xfId="0" applyNumberFormat="1" applyFont="1" applyBorder="1" applyAlignment="1">
      <alignment horizontal="left" vertical="center"/>
    </xf>
    <xf numFmtId="176" fontId="47" fillId="0" borderId="29" xfId="0" applyNumberFormat="1" applyFont="1" applyBorder="1" applyAlignment="1">
      <alignment horizontal="right" vertical="center"/>
    </xf>
    <xf numFmtId="191" fontId="47" fillId="0" borderId="29" xfId="0" applyNumberFormat="1" applyFont="1" applyBorder="1" applyAlignment="1">
      <alignment horizontal="right" vertical="center"/>
    </xf>
    <xf numFmtId="49" fontId="47" fillId="0" borderId="33" xfId="0" applyNumberFormat="1" applyFont="1" applyBorder="1" applyAlignment="1">
      <alignment horizontal="center" vertical="center"/>
    </xf>
    <xf numFmtId="49" fontId="47" fillId="0" borderId="33" xfId="0" applyNumberFormat="1" applyFont="1" applyBorder="1" applyAlignment="1">
      <alignment horizontal="left" vertical="center"/>
    </xf>
    <xf numFmtId="176" fontId="47" fillId="0" borderId="33" xfId="0" applyNumberFormat="1" applyFont="1" applyBorder="1" applyAlignment="1">
      <alignment horizontal="right" vertical="center"/>
    </xf>
    <xf numFmtId="191" fontId="47" fillId="0" borderId="33" xfId="0" applyNumberFormat="1" applyFont="1" applyBorder="1" applyAlignment="1">
      <alignment horizontal="right" vertical="center"/>
    </xf>
    <xf numFmtId="49" fontId="47" fillId="33" borderId="29" xfId="0" applyNumberFormat="1" applyFont="1" applyFill="1" applyBorder="1" applyAlignment="1">
      <alignment horizontal="center" vertical="center"/>
    </xf>
    <xf numFmtId="49" fontId="47" fillId="33" borderId="29" xfId="0" applyNumberFormat="1" applyFont="1" applyFill="1" applyBorder="1" applyAlignment="1">
      <alignment horizontal="right" vertical="center"/>
    </xf>
    <xf numFmtId="176" fontId="47" fillId="33" borderId="29" xfId="0" applyNumberFormat="1" applyFont="1" applyFill="1" applyBorder="1" applyAlignment="1">
      <alignment horizontal="right" vertical="center"/>
    </xf>
    <xf numFmtId="191" fontId="47" fillId="33" borderId="29" xfId="0" applyNumberFormat="1" applyFont="1" applyFill="1" applyBorder="1" applyAlignment="1">
      <alignment horizontal="right" vertical="center"/>
    </xf>
    <xf numFmtId="0" fontId="4" fillId="35" borderId="1" xfId="0" applyFont="1" applyFill="1" applyBorder="1" applyAlignment="1">
      <alignment horizontal="center" vertical="center"/>
    </xf>
    <xf numFmtId="0" fontId="4" fillId="35" borderId="1" xfId="0" applyFont="1" applyFill="1" applyBorder="1">
      <alignment vertical="center"/>
    </xf>
    <xf numFmtId="186" fontId="4" fillId="35" borderId="1" xfId="0" applyNumberFormat="1" applyFont="1" applyFill="1" applyBorder="1" applyAlignment="1">
      <alignment horizontal="right" vertical="center" wrapText="1"/>
    </xf>
    <xf numFmtId="186" fontId="4" fillId="35" borderId="1" xfId="1" applyNumberFormat="1" applyFont="1" applyFill="1" applyBorder="1" applyAlignment="1">
      <alignment horizontal="right" vertical="center"/>
    </xf>
    <xf numFmtId="177" fontId="4" fillId="35" borderId="1" xfId="2" applyNumberFormat="1" applyFont="1" applyFill="1" applyBorder="1" applyAlignment="1">
      <alignment horizontal="right" vertical="center" wrapText="1"/>
    </xf>
    <xf numFmtId="177" fontId="6" fillId="35" borderId="1" xfId="2" applyNumberFormat="1" applyFont="1" applyFill="1" applyBorder="1">
      <alignment vertical="center"/>
    </xf>
    <xf numFmtId="177" fontId="37" fillId="35" borderId="1" xfId="2" applyNumberFormat="1" applyFont="1" applyFill="1" applyBorder="1" applyAlignment="1">
      <alignment horizontal="center" vertical="center"/>
    </xf>
    <xf numFmtId="9" fontId="6" fillId="35" borderId="0" xfId="2" applyFont="1" applyFill="1">
      <alignment vertical="center"/>
    </xf>
    <xf numFmtId="0" fontId="4" fillId="35" borderId="1" xfId="0" applyFont="1" applyFill="1" applyBorder="1" applyAlignment="1">
      <alignment horizontal="center" vertical="center" wrapText="1"/>
    </xf>
    <xf numFmtId="176" fontId="4" fillId="35" borderId="1" xfId="0" applyNumberFormat="1" applyFont="1" applyFill="1" applyBorder="1" applyAlignment="1">
      <alignment horizontal="right" vertical="center" wrapText="1"/>
    </xf>
    <xf numFmtId="0" fontId="6" fillId="35" borderId="0" xfId="0" applyFont="1" applyFill="1">
      <alignment vertical="center"/>
    </xf>
    <xf numFmtId="0" fontId="0" fillId="35" borderId="0" xfId="0" applyFill="1">
      <alignment vertical="center"/>
    </xf>
    <xf numFmtId="49" fontId="4" fillId="35" borderId="1" xfId="0" applyNumberFormat="1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center" vertical="center"/>
    </xf>
    <xf numFmtId="0" fontId="4" fillId="36" borderId="1" xfId="0" applyFont="1" applyFill="1" applyBorder="1">
      <alignment vertical="center"/>
    </xf>
    <xf numFmtId="186" fontId="4" fillId="36" borderId="1" xfId="0" applyNumberFormat="1" applyFont="1" applyFill="1" applyBorder="1" applyAlignment="1">
      <alignment horizontal="right" vertical="center" wrapText="1"/>
    </xf>
    <xf numFmtId="186" fontId="4" fillId="36" borderId="1" xfId="1" applyNumberFormat="1" applyFont="1" applyFill="1" applyBorder="1" applyAlignment="1">
      <alignment horizontal="right" vertical="center"/>
    </xf>
    <xf numFmtId="177" fontId="4" fillId="36" borderId="1" xfId="2" applyNumberFormat="1" applyFont="1" applyFill="1" applyBorder="1" applyAlignment="1">
      <alignment horizontal="right" vertical="center" wrapText="1"/>
    </xf>
    <xf numFmtId="177" fontId="6" fillId="36" borderId="1" xfId="2" applyNumberFormat="1" applyFont="1" applyFill="1" applyBorder="1">
      <alignment vertical="center"/>
    </xf>
    <xf numFmtId="177" fontId="37" fillId="36" borderId="1" xfId="2" applyNumberFormat="1" applyFont="1" applyFill="1" applyBorder="1" applyAlignment="1">
      <alignment horizontal="center" vertical="center"/>
    </xf>
    <xf numFmtId="9" fontId="6" fillId="36" borderId="0" xfId="2" applyFont="1" applyFill="1">
      <alignment vertical="center"/>
    </xf>
    <xf numFmtId="0" fontId="4" fillId="36" borderId="1" xfId="0" applyFont="1" applyFill="1" applyBorder="1" applyAlignment="1">
      <alignment horizontal="center" vertical="center" wrapText="1"/>
    </xf>
    <xf numFmtId="176" fontId="4" fillId="36" borderId="1" xfId="0" applyNumberFormat="1" applyFont="1" applyFill="1" applyBorder="1" applyAlignment="1">
      <alignment horizontal="right" vertical="center" wrapText="1"/>
    </xf>
    <xf numFmtId="0" fontId="6" fillId="36" borderId="0" xfId="0" applyFont="1" applyFill="1">
      <alignment vertical="center"/>
    </xf>
    <xf numFmtId="0" fontId="0" fillId="36" borderId="0" xfId="0" applyFill="1">
      <alignment vertical="center"/>
    </xf>
  </cellXfs>
  <cellStyles count="1063">
    <cellStyle name="_KLI ACS센터구축_PA_1014(Web)" xfId="70"/>
    <cellStyle name="_KLI CC 120석 증설 PA_040310" xfId="71"/>
    <cellStyle name="_콜센타구축" xfId="72"/>
    <cellStyle name="_콜센터 운용서비스_PA" xfId="73"/>
    <cellStyle name="_콜센터 추가개발 견적서_0422_02" xfId="74"/>
    <cellStyle name="20% - Accent1" xfId="5"/>
    <cellStyle name="20% - Accent2" xfId="6"/>
    <cellStyle name="20% - Accent3" xfId="7"/>
    <cellStyle name="20% - Accent4" xfId="8"/>
    <cellStyle name="20% - Accent5" xfId="9"/>
    <cellStyle name="20% - Accent6" xfId="10"/>
    <cellStyle name="40% - Accent1" xfId="11"/>
    <cellStyle name="40% - Accent2" xfId="12"/>
    <cellStyle name="40% - Accent3" xfId="13"/>
    <cellStyle name="40% - Accent4" xfId="14"/>
    <cellStyle name="40% - Accent5" xfId="15"/>
    <cellStyle name="40% - Accent6" xfId="16"/>
    <cellStyle name="60% - Accent1" xfId="17"/>
    <cellStyle name="60% - Accent2" xfId="18"/>
    <cellStyle name="60% - Accent3" xfId="19"/>
    <cellStyle name="60% - Accent4" xfId="20"/>
    <cellStyle name="60% - Accent5" xfId="21"/>
    <cellStyle name="60% - Accent6" xfId="22"/>
    <cellStyle name="80" xfId="75"/>
    <cellStyle name="８０" xfId="76"/>
    <cellStyle name="800" xfId="77"/>
    <cellStyle name="Accent1" xfId="23"/>
    <cellStyle name="Accent2" xfId="24"/>
    <cellStyle name="Accent3" xfId="25"/>
    <cellStyle name="Accent4" xfId="26"/>
    <cellStyle name="Accent5" xfId="27"/>
    <cellStyle name="Accent6" xfId="28"/>
    <cellStyle name="Bad" xfId="29"/>
    <cellStyle name="Calculation" xfId="30"/>
    <cellStyle name="Check Cell" xfId="31"/>
    <cellStyle name="Comma [0]_ SG&amp;A Bridge " xfId="78"/>
    <cellStyle name="Comma_ SG&amp;A Bridge " xfId="79"/>
    <cellStyle name="Currency [0]_ SG&amp;A Bridge " xfId="80"/>
    <cellStyle name="Currency_ SG&amp;A Bridge " xfId="81"/>
    <cellStyle name="Explanatory Text" xfId="32"/>
    <cellStyle name="Good" xfId="33"/>
    <cellStyle name="Grey" xfId="34"/>
    <cellStyle name="Header1" xfId="35"/>
    <cellStyle name="Header2" xfId="36"/>
    <cellStyle name="Heading 1" xfId="37"/>
    <cellStyle name="Heading 2" xfId="38"/>
    <cellStyle name="Heading 3" xfId="39"/>
    <cellStyle name="Heading 4" xfId="40"/>
    <cellStyle name="Input" xfId="41"/>
    <cellStyle name="Input [yellow]" xfId="42"/>
    <cellStyle name="Input_광화문변경내용(1)" xfId="43"/>
    <cellStyle name="Linked Cell" xfId="44"/>
    <cellStyle name="Neutral" xfId="45"/>
    <cellStyle name="Normal - Style1" xfId="46"/>
    <cellStyle name="Normal - Style1 10" xfId="125"/>
    <cellStyle name="Normal - Style1 11" xfId="145"/>
    <cellStyle name="Normal - Style1 12" xfId="154"/>
    <cellStyle name="Normal - Style1 13" xfId="206"/>
    <cellStyle name="Normal - Style1 14" xfId="200"/>
    <cellStyle name="Normal - Style1 15" xfId="207"/>
    <cellStyle name="Normal - Style1 16" xfId="199"/>
    <cellStyle name="Normal - Style1 17" xfId="208"/>
    <cellStyle name="Normal - Style1 18" xfId="218"/>
    <cellStyle name="Normal - Style1 19" xfId="228"/>
    <cellStyle name="Normal - Style1 2" xfId="82"/>
    <cellStyle name="Normal - Style1 20" xfId="238"/>
    <cellStyle name="Normal - Style1 21" xfId="248"/>
    <cellStyle name="Normal - Style1 22" xfId="258"/>
    <cellStyle name="Normal - Style1 23" xfId="268"/>
    <cellStyle name="Normal - Style1 24" xfId="313"/>
    <cellStyle name="Normal - Style1 25" xfId="204"/>
    <cellStyle name="Normal - Style1 26" xfId="312"/>
    <cellStyle name="Normal - Style1 27" xfId="324"/>
    <cellStyle name="Normal - Style1 28" xfId="350"/>
    <cellStyle name="Normal - Style1 29" xfId="201"/>
    <cellStyle name="Normal - Style1 3" xfId="103"/>
    <cellStyle name="Normal - Style1 30" xfId="351"/>
    <cellStyle name="Normal - Style1 31" xfId="202"/>
    <cellStyle name="Normal - Style1 32" xfId="352"/>
    <cellStyle name="Normal - Style1 33" xfId="362"/>
    <cellStyle name="Normal - Style1 34" xfId="372"/>
    <cellStyle name="Normal - Style1 35" xfId="381"/>
    <cellStyle name="Normal - Style1 36" xfId="391"/>
    <cellStyle name="Normal - Style1 37" xfId="442"/>
    <cellStyle name="Normal - Style1 38" xfId="437"/>
    <cellStyle name="Normal - Style1 39" xfId="443"/>
    <cellStyle name="Normal - Style1 4" xfId="102"/>
    <cellStyle name="Normal - Style1 40" xfId="436"/>
    <cellStyle name="Normal - Style1 41" xfId="444"/>
    <cellStyle name="Normal - Style1 42" xfId="454"/>
    <cellStyle name="Normal - Style1 43" xfId="463"/>
    <cellStyle name="Normal - Style1 44" xfId="472"/>
    <cellStyle name="Normal - Style1 45" xfId="481"/>
    <cellStyle name="Normal - Style1 46" xfId="491"/>
    <cellStyle name="Normal - Style1 47" xfId="534"/>
    <cellStyle name="Normal - Style1 48" xfId="441"/>
    <cellStyle name="Normal - Style1 49" xfId="535"/>
    <cellStyle name="Normal - Style1 5" xfId="127"/>
    <cellStyle name="Normal - Style1 50" xfId="560"/>
    <cellStyle name="Normal - Style1 51" xfId="607"/>
    <cellStyle name="Normal - Style1 52" xfId="606"/>
    <cellStyle name="Normal - Style1 53" xfId="623"/>
    <cellStyle name="Normal - Style1 54" xfId="637"/>
    <cellStyle name="Normal - Style1 55" xfId="636"/>
    <cellStyle name="Normal - Style1 6" xfId="123"/>
    <cellStyle name="Normal - Style1 7" xfId="143"/>
    <cellStyle name="Normal - Style1 8" xfId="126"/>
    <cellStyle name="Normal - Style1 9" xfId="144"/>
    <cellStyle name="Normal_ SG&amp;A Bridge " xfId="83"/>
    <cellStyle name="Note" xfId="47"/>
    <cellStyle name="Output" xfId="48"/>
    <cellStyle name="Percent [2]" xfId="49"/>
    <cellStyle name="Standard_Tabelle1" xfId="84"/>
    <cellStyle name="Title" xfId="50"/>
    <cellStyle name="Total" xfId="51"/>
    <cellStyle name="Warning Text" xfId="52"/>
    <cellStyle name="똿뗦먛귟 [0.00]_PRODUCT DETAIL Q1" xfId="85"/>
    <cellStyle name="똿뗦먛귟_PRODUCT DETAIL Q1" xfId="86"/>
    <cellStyle name="믅됞 [0.00]_PRODUCT DETAIL Q1" xfId="87"/>
    <cellStyle name="믅됞_PRODUCT DETAIL Q1" xfId="88"/>
    <cellStyle name="백분율" xfId="2" builtinId="5"/>
    <cellStyle name="백분율 2" xfId="53"/>
    <cellStyle name="뷭?_BOOKSHIP" xfId="89"/>
    <cellStyle name="쉼표 [0]" xfId="1" builtinId="6"/>
    <cellStyle name="쉼표 [0] 10" xfId="190"/>
    <cellStyle name="쉼표 [0] 10 2" xfId="741"/>
    <cellStyle name="쉼표 [0] 11" xfId="134"/>
    <cellStyle name="쉼표 [0] 11 2" xfId="700"/>
    <cellStyle name="쉼표 [0] 12" xfId="553"/>
    <cellStyle name="쉼표 [0] 12 2" xfId="993"/>
    <cellStyle name="쉼표 [0] 13" xfId="157"/>
    <cellStyle name="쉼표 [0] 13 2" xfId="715"/>
    <cellStyle name="쉼표 [0] 14" xfId="166"/>
    <cellStyle name="쉼표 [0] 14 2" xfId="722"/>
    <cellStyle name="쉼표 [0] 15" xfId="175"/>
    <cellStyle name="쉼표 [0] 15 2" xfId="729"/>
    <cellStyle name="쉼표 [0] 16" xfId="211"/>
    <cellStyle name="쉼표 [0] 16 2" xfId="751"/>
    <cellStyle name="쉼표 [0] 17" xfId="221"/>
    <cellStyle name="쉼표 [0] 17 2" xfId="758"/>
    <cellStyle name="쉼표 [0] 18" xfId="231"/>
    <cellStyle name="쉼표 [0] 18 2" xfId="765"/>
    <cellStyle name="쉼표 [0] 19" xfId="241"/>
    <cellStyle name="쉼표 [0] 19 2" xfId="772"/>
    <cellStyle name="쉼표 [0] 2" xfId="3"/>
    <cellStyle name="쉼표 [0] 2 10" xfId="161"/>
    <cellStyle name="쉼표 [0] 2 10 2" xfId="718"/>
    <cellStyle name="쉼표 [0] 2 11" xfId="170"/>
    <cellStyle name="쉼표 [0] 2 11 2" xfId="725"/>
    <cellStyle name="쉼표 [0] 2 12" xfId="179"/>
    <cellStyle name="쉼표 [0] 2 12 2" xfId="732"/>
    <cellStyle name="쉼표 [0] 2 13" xfId="185"/>
    <cellStyle name="쉼표 [0] 2 13 2" xfId="736"/>
    <cellStyle name="쉼표 [0] 2 14" xfId="191"/>
    <cellStyle name="쉼표 [0] 2 14 2" xfId="742"/>
    <cellStyle name="쉼표 [0] 2 15" xfId="215"/>
    <cellStyle name="쉼표 [0] 2 15 2" xfId="754"/>
    <cellStyle name="쉼표 [0] 2 16" xfId="225"/>
    <cellStyle name="쉼표 [0] 2 16 2" xfId="761"/>
    <cellStyle name="쉼표 [0] 2 17" xfId="235"/>
    <cellStyle name="쉼표 [0] 2 17 2" xfId="768"/>
    <cellStyle name="쉼표 [0] 2 18" xfId="245"/>
    <cellStyle name="쉼표 [0] 2 18 2" xfId="775"/>
    <cellStyle name="쉼표 [0] 2 19" xfId="255"/>
    <cellStyle name="쉼표 [0] 2 19 2" xfId="782"/>
    <cellStyle name="쉼표 [0] 2 2" xfId="54"/>
    <cellStyle name="쉼표 [0] 2 2 10" xfId="664"/>
    <cellStyle name="쉼표 [0] 2 2 2" xfId="55"/>
    <cellStyle name="쉼표 [0] 2 2 2 2" xfId="665"/>
    <cellStyle name="쉼표 [0] 2 2 3" xfId="568"/>
    <cellStyle name="쉼표 [0] 2 2 3 2" xfId="1003"/>
    <cellStyle name="쉼표 [0] 2 2 4" xfId="572"/>
    <cellStyle name="쉼표 [0] 2 2 4 2" xfId="1005"/>
    <cellStyle name="쉼표 [0] 2 2 5" xfId="576"/>
    <cellStyle name="쉼표 [0] 2 2 5 2" xfId="1009"/>
    <cellStyle name="쉼표 [0] 2 2 6" xfId="574"/>
    <cellStyle name="쉼표 [0] 2 2 6 2" xfId="1007"/>
    <cellStyle name="쉼표 [0] 2 2 7" xfId="579"/>
    <cellStyle name="쉼표 [0] 2 2 7 2" xfId="1012"/>
    <cellStyle name="쉼표 [0] 2 2 8" xfId="589"/>
    <cellStyle name="쉼표 [0] 2 2 8 2" xfId="1015"/>
    <cellStyle name="쉼표 [0] 2 2 9" xfId="592"/>
    <cellStyle name="쉼표 [0] 2 2 9 2" xfId="1016"/>
    <cellStyle name="쉼표 [0] 2 20" xfId="265"/>
    <cellStyle name="쉼표 [0] 2 20 2" xfId="789"/>
    <cellStyle name="쉼표 [0] 2 21" xfId="275"/>
    <cellStyle name="쉼표 [0] 2 21 2" xfId="796"/>
    <cellStyle name="쉼표 [0] 2 22" xfId="284"/>
    <cellStyle name="쉼표 [0] 2 22 2" xfId="803"/>
    <cellStyle name="쉼표 [0] 2 23" xfId="294"/>
    <cellStyle name="쉼표 [0] 2 23 2" xfId="810"/>
    <cellStyle name="쉼표 [0] 2 24" xfId="301"/>
    <cellStyle name="쉼표 [0] 2 24 2" xfId="815"/>
    <cellStyle name="쉼표 [0] 2 25" xfId="309"/>
    <cellStyle name="쉼표 [0] 2 25 2" xfId="822"/>
    <cellStyle name="쉼표 [0] 2 26" xfId="320"/>
    <cellStyle name="쉼표 [0] 2 26 2" xfId="829"/>
    <cellStyle name="쉼표 [0] 2 27" xfId="332"/>
    <cellStyle name="쉼표 [0] 2 27 2" xfId="837"/>
    <cellStyle name="쉼표 [0] 2 28" xfId="338"/>
    <cellStyle name="쉼표 [0] 2 28 2" xfId="841"/>
    <cellStyle name="쉼표 [0] 2 29" xfId="347"/>
    <cellStyle name="쉼표 [0] 2 29 2" xfId="849"/>
    <cellStyle name="쉼표 [0] 2 3" xfId="64"/>
    <cellStyle name="쉼표 [0] 2 3 2" xfId="668"/>
    <cellStyle name="쉼표 [0] 2 30" xfId="359"/>
    <cellStyle name="쉼표 [0] 2 30 2" xfId="856"/>
    <cellStyle name="쉼표 [0] 2 31" xfId="369"/>
    <cellStyle name="쉼표 [0] 2 31 2" xfId="863"/>
    <cellStyle name="쉼표 [0] 2 32" xfId="378"/>
    <cellStyle name="쉼표 [0] 2 32 2" xfId="869"/>
    <cellStyle name="쉼표 [0] 2 33" xfId="388"/>
    <cellStyle name="쉼표 [0] 2 33 2" xfId="876"/>
    <cellStyle name="쉼표 [0] 2 34" xfId="398"/>
    <cellStyle name="쉼표 [0] 2 34 2" xfId="883"/>
    <cellStyle name="쉼표 [0] 2 35" xfId="407"/>
    <cellStyle name="쉼표 [0] 2 35 2" xfId="890"/>
    <cellStyle name="쉼표 [0] 2 36" xfId="416"/>
    <cellStyle name="쉼표 [0] 2 36 2" xfId="897"/>
    <cellStyle name="쉼표 [0] 2 37" xfId="422"/>
    <cellStyle name="쉼표 [0] 2 37 2" xfId="901"/>
    <cellStyle name="쉼표 [0] 2 38" xfId="427"/>
    <cellStyle name="쉼표 [0] 2 38 2" xfId="906"/>
    <cellStyle name="쉼표 [0] 2 39" xfId="451"/>
    <cellStyle name="쉼표 [0] 2 39 2" xfId="919"/>
    <cellStyle name="쉼표 [0] 2 4" xfId="93"/>
    <cellStyle name="쉼표 [0] 2 4 2" xfId="674"/>
    <cellStyle name="쉼표 [0] 2 40" xfId="460"/>
    <cellStyle name="쉼표 [0] 2 40 2" xfId="925"/>
    <cellStyle name="쉼표 [0] 2 41" xfId="469"/>
    <cellStyle name="쉼표 [0] 2 41 2" xfId="931"/>
    <cellStyle name="쉼표 [0] 2 42" xfId="478"/>
    <cellStyle name="쉼표 [0] 2 42 2" xfId="937"/>
    <cellStyle name="쉼표 [0] 2 43" xfId="488"/>
    <cellStyle name="쉼표 [0] 2 43 2" xfId="944"/>
    <cellStyle name="쉼표 [0] 2 44" xfId="498"/>
    <cellStyle name="쉼표 [0] 2 44 2" xfId="951"/>
    <cellStyle name="쉼표 [0] 2 45" xfId="507"/>
    <cellStyle name="쉼표 [0] 2 45 2" xfId="958"/>
    <cellStyle name="쉼표 [0] 2 46" xfId="517"/>
    <cellStyle name="쉼표 [0] 2 46 2" xfId="965"/>
    <cellStyle name="쉼표 [0] 2 47" xfId="523"/>
    <cellStyle name="쉼표 [0] 2 47 2" xfId="969"/>
    <cellStyle name="쉼표 [0] 2 48" xfId="530"/>
    <cellStyle name="쉼표 [0] 2 48 2" xfId="976"/>
    <cellStyle name="쉼표 [0] 2 49" xfId="542"/>
    <cellStyle name="쉼표 [0] 2 49 2" xfId="984"/>
    <cellStyle name="쉼표 [0] 2 5" xfId="107"/>
    <cellStyle name="쉼표 [0] 2 5 2" xfId="682"/>
    <cellStyle name="쉼표 [0] 2 50" xfId="548"/>
    <cellStyle name="쉼표 [0] 2 50 2" xfId="988"/>
    <cellStyle name="쉼표 [0] 2 51" xfId="554"/>
    <cellStyle name="쉼표 [0] 2 51 2" xfId="994"/>
    <cellStyle name="쉼표 [0] 2 52" xfId="567"/>
    <cellStyle name="쉼표 [0] 2 52 2" xfId="597"/>
    <cellStyle name="쉼표 [0] 2 52 2 2" xfId="1019"/>
    <cellStyle name="쉼표 [0] 2 52 3" xfId="647"/>
    <cellStyle name="쉼표 [0] 2 52 3 2" xfId="1054"/>
    <cellStyle name="쉼표 [0] 2 52 4" xfId="1002"/>
    <cellStyle name="쉼표 [0] 2 53" xfId="573"/>
    <cellStyle name="쉼표 [0] 2 53 2" xfId="611"/>
    <cellStyle name="쉼표 [0] 2 53 2 2" xfId="1027"/>
    <cellStyle name="쉼표 [0] 2 53 3" xfId="651"/>
    <cellStyle name="쉼표 [0] 2 53 3 2" xfId="1056"/>
    <cellStyle name="쉼표 [0] 2 53 4" xfId="1006"/>
    <cellStyle name="쉼표 [0] 2 54" xfId="575"/>
    <cellStyle name="쉼표 [0] 2 54 2" xfId="617"/>
    <cellStyle name="쉼표 [0] 2 54 2 2" xfId="1033"/>
    <cellStyle name="쉼표 [0] 2 54 3" xfId="653"/>
    <cellStyle name="쉼표 [0] 2 54 3 2" xfId="1058"/>
    <cellStyle name="쉼표 [0] 2 54 4" xfId="1008"/>
    <cellStyle name="쉼표 [0] 2 55" xfId="578"/>
    <cellStyle name="쉼표 [0] 2 55 2" xfId="627"/>
    <cellStyle name="쉼표 [0] 2 55 2 2" xfId="1040"/>
    <cellStyle name="쉼표 [0] 2 55 3" xfId="656"/>
    <cellStyle name="쉼표 [0] 2 55 3 2" xfId="1060"/>
    <cellStyle name="쉼표 [0] 2 55 4" xfId="1011"/>
    <cellStyle name="쉼표 [0] 2 56" xfId="566"/>
    <cellStyle name="쉼표 [0] 2 56 2" xfId="641"/>
    <cellStyle name="쉼표 [0] 2 56 2 2" xfId="1048"/>
    <cellStyle name="쉼표 [0] 2 56 3" xfId="660"/>
    <cellStyle name="쉼표 [0] 2 56 3 2" xfId="1062"/>
    <cellStyle name="쉼표 [0] 2 56 4" xfId="1001"/>
    <cellStyle name="쉼표 [0] 2 57" xfId="588"/>
    <cellStyle name="쉼표 [0] 2 57 2" xfId="1014"/>
    <cellStyle name="쉼표 [0] 2 58" xfId="593"/>
    <cellStyle name="쉼표 [0] 2 58 2" xfId="1017"/>
    <cellStyle name="쉼표 [0] 2 59" xfId="662"/>
    <cellStyle name="쉼표 [0] 2 6" xfId="113"/>
    <cellStyle name="쉼표 [0] 2 6 2" xfId="688"/>
    <cellStyle name="쉼표 [0] 2 7" xfId="131"/>
    <cellStyle name="쉼표 [0] 2 7 2" xfId="697"/>
    <cellStyle name="쉼표 [0] 2 8" xfId="140"/>
    <cellStyle name="쉼표 [0] 2 8 2" xfId="705"/>
    <cellStyle name="쉼표 [0] 2 9" xfId="151"/>
    <cellStyle name="쉼표 [0] 2 9 2" xfId="711"/>
    <cellStyle name="쉼표 [0] 20" xfId="251"/>
    <cellStyle name="쉼표 [0] 20 2" xfId="779"/>
    <cellStyle name="쉼표 [0] 21" xfId="261"/>
    <cellStyle name="쉼표 [0] 21 2" xfId="786"/>
    <cellStyle name="쉼표 [0] 22" xfId="271"/>
    <cellStyle name="쉼표 [0] 22 2" xfId="793"/>
    <cellStyle name="쉼표 [0] 23" xfId="280"/>
    <cellStyle name="쉼표 [0] 23 2" xfId="800"/>
    <cellStyle name="쉼표 [0] 24" xfId="290"/>
    <cellStyle name="쉼표 [0] 24 2" xfId="807"/>
    <cellStyle name="쉼표 [0] 25" xfId="300"/>
    <cellStyle name="쉼표 [0] 25 2" xfId="814"/>
    <cellStyle name="쉼표 [0] 26" xfId="321"/>
    <cellStyle name="쉼표 [0] 26 2" xfId="830"/>
    <cellStyle name="쉼표 [0] 27" xfId="316"/>
    <cellStyle name="쉼표 [0] 27 2" xfId="826"/>
    <cellStyle name="쉼표 [0] 28" xfId="328"/>
    <cellStyle name="쉼표 [0] 28 2" xfId="834"/>
    <cellStyle name="쉼표 [0] 29" xfId="433"/>
    <cellStyle name="쉼표 [0] 29 2" xfId="911"/>
    <cellStyle name="쉼표 [0] 3" xfId="4"/>
    <cellStyle name="쉼표 [0] 3 10" xfId="155"/>
    <cellStyle name="쉼표 [0] 3 10 2" xfId="714"/>
    <cellStyle name="쉼표 [0] 3 11" xfId="164"/>
    <cellStyle name="쉼표 [0] 3 11 2" xfId="721"/>
    <cellStyle name="쉼표 [0] 3 12" xfId="173"/>
    <cellStyle name="쉼표 [0] 3 12 2" xfId="728"/>
    <cellStyle name="쉼표 [0] 3 13" xfId="193"/>
    <cellStyle name="쉼표 [0] 3 13 2" xfId="744"/>
    <cellStyle name="쉼표 [0] 3 14" xfId="198"/>
    <cellStyle name="쉼표 [0] 3 14 2" xfId="747"/>
    <cellStyle name="쉼표 [0] 3 15" xfId="209"/>
    <cellStyle name="쉼표 [0] 3 15 2" xfId="750"/>
    <cellStyle name="쉼표 [0] 3 16" xfId="219"/>
    <cellStyle name="쉼표 [0] 3 16 2" xfId="757"/>
    <cellStyle name="쉼표 [0] 3 17" xfId="229"/>
    <cellStyle name="쉼표 [0] 3 17 2" xfId="764"/>
    <cellStyle name="쉼표 [0] 3 18" xfId="239"/>
    <cellStyle name="쉼표 [0] 3 18 2" xfId="771"/>
    <cellStyle name="쉼표 [0] 3 19" xfId="249"/>
    <cellStyle name="쉼표 [0] 3 19 2" xfId="778"/>
    <cellStyle name="쉼표 [0] 3 2" xfId="65"/>
    <cellStyle name="쉼표 [0] 3 2 2" xfId="669"/>
    <cellStyle name="쉼표 [0] 3 20" xfId="259"/>
    <cellStyle name="쉼표 [0] 3 20 2" xfId="785"/>
    <cellStyle name="쉼표 [0] 3 21" xfId="269"/>
    <cellStyle name="쉼표 [0] 3 21 2" xfId="792"/>
    <cellStyle name="쉼표 [0] 3 22" xfId="278"/>
    <cellStyle name="쉼표 [0] 3 22 2" xfId="799"/>
    <cellStyle name="쉼표 [0] 3 23" xfId="288"/>
    <cellStyle name="쉼표 [0] 3 23 2" xfId="806"/>
    <cellStyle name="쉼표 [0] 3 24" xfId="307"/>
    <cellStyle name="쉼표 [0] 3 24 2" xfId="820"/>
    <cellStyle name="쉼표 [0] 3 25" xfId="308"/>
    <cellStyle name="쉼표 [0] 3 25 2" xfId="821"/>
    <cellStyle name="쉼표 [0] 3 26" xfId="314"/>
    <cellStyle name="쉼표 [0] 3 26 2" xfId="825"/>
    <cellStyle name="쉼표 [0] 3 27" xfId="326"/>
    <cellStyle name="쉼표 [0] 3 27 2" xfId="833"/>
    <cellStyle name="쉼표 [0] 3 28" xfId="345"/>
    <cellStyle name="쉼표 [0] 3 28 2" xfId="847"/>
    <cellStyle name="쉼표 [0] 3 29" xfId="203"/>
    <cellStyle name="쉼표 [0] 3 29 2" xfId="748"/>
    <cellStyle name="쉼표 [0] 3 3" xfId="95"/>
    <cellStyle name="쉼표 [0] 3 3 2" xfId="676"/>
    <cellStyle name="쉼표 [0] 3 30" xfId="353"/>
    <cellStyle name="쉼표 [0] 3 30 2" xfId="852"/>
    <cellStyle name="쉼표 [0] 3 31" xfId="363"/>
    <cellStyle name="쉼표 [0] 3 31 2" xfId="859"/>
    <cellStyle name="쉼표 [0] 3 32" xfId="373"/>
    <cellStyle name="쉼표 [0] 3 32 2" xfId="866"/>
    <cellStyle name="쉼표 [0] 3 33" xfId="382"/>
    <cellStyle name="쉼표 [0] 3 33 2" xfId="872"/>
    <cellStyle name="쉼표 [0] 3 34" xfId="392"/>
    <cellStyle name="쉼표 [0] 3 34 2" xfId="879"/>
    <cellStyle name="쉼표 [0] 3 35" xfId="401"/>
    <cellStyle name="쉼표 [0] 3 35 2" xfId="886"/>
    <cellStyle name="쉼표 [0] 3 36" xfId="410"/>
    <cellStyle name="쉼표 [0] 3 36 2" xfId="893"/>
    <cellStyle name="쉼표 [0] 3 37" xfId="429"/>
    <cellStyle name="쉼표 [0] 3 37 2" xfId="908"/>
    <cellStyle name="쉼표 [0] 3 38" xfId="435"/>
    <cellStyle name="쉼표 [0] 3 38 2" xfId="912"/>
    <cellStyle name="쉼표 [0] 3 39" xfId="445"/>
    <cellStyle name="쉼표 [0] 3 39 2" xfId="915"/>
    <cellStyle name="쉼표 [0] 3 4" xfId="101"/>
    <cellStyle name="쉼표 [0] 3 4 2" xfId="680"/>
    <cellStyle name="쉼표 [0] 3 40" xfId="455"/>
    <cellStyle name="쉼표 [0] 3 40 2" xfId="922"/>
    <cellStyle name="쉼표 [0] 3 41" xfId="464"/>
    <cellStyle name="쉼표 [0] 3 41 2" xfId="928"/>
    <cellStyle name="쉼표 [0] 3 42" xfId="473"/>
    <cellStyle name="쉼표 [0] 3 42 2" xfId="934"/>
    <cellStyle name="쉼표 [0] 3 43" xfId="482"/>
    <cellStyle name="쉼표 [0] 3 43 2" xfId="940"/>
    <cellStyle name="쉼표 [0] 3 44" xfId="492"/>
    <cellStyle name="쉼표 [0] 3 44 2" xfId="947"/>
    <cellStyle name="쉼표 [0] 3 45" xfId="501"/>
    <cellStyle name="쉼표 [0] 3 45 2" xfId="954"/>
    <cellStyle name="쉼표 [0] 3 46" xfId="511"/>
    <cellStyle name="쉼표 [0] 3 46 2" xfId="961"/>
    <cellStyle name="쉼표 [0] 3 47" xfId="528"/>
    <cellStyle name="쉼표 [0] 3 47 2" xfId="974"/>
    <cellStyle name="쉼표 [0] 3 48" xfId="440"/>
    <cellStyle name="쉼표 [0] 3 48 2" xfId="914"/>
    <cellStyle name="쉼표 [0] 3 49" xfId="536"/>
    <cellStyle name="쉼표 [0] 3 49 2" xfId="980"/>
    <cellStyle name="쉼표 [0] 3 5" xfId="115"/>
    <cellStyle name="쉼표 [0] 3 5 2" xfId="690"/>
    <cellStyle name="쉼표 [0] 3 50" xfId="555"/>
    <cellStyle name="쉼표 [0] 3 50 2" xfId="995"/>
    <cellStyle name="쉼표 [0] 3 51" xfId="599"/>
    <cellStyle name="쉼표 [0] 3 51 2" xfId="1021"/>
    <cellStyle name="쉼표 [0] 3 52" xfId="605"/>
    <cellStyle name="쉼표 [0] 3 52 2" xfId="1025"/>
    <cellStyle name="쉼표 [0] 3 53" xfId="618"/>
    <cellStyle name="쉼표 [0] 3 53 2" xfId="1034"/>
    <cellStyle name="쉼표 [0] 3 54" xfId="629"/>
    <cellStyle name="쉼표 [0] 3 54 2" xfId="1042"/>
    <cellStyle name="쉼표 [0] 3 55" xfId="635"/>
    <cellStyle name="쉼표 [0] 3 55 2" xfId="1046"/>
    <cellStyle name="쉼표 [0] 3 56" xfId="663"/>
    <cellStyle name="쉼표 [0] 3 6" xfId="121"/>
    <cellStyle name="쉼표 [0] 3 6 2" xfId="694"/>
    <cellStyle name="쉼표 [0] 3 7" xfId="138"/>
    <cellStyle name="쉼표 [0] 3 7 2" xfId="703"/>
    <cellStyle name="쉼표 [0] 3 8" xfId="124"/>
    <cellStyle name="쉼표 [0] 3 8 2" xfId="695"/>
    <cellStyle name="쉼표 [0] 3 9" xfId="146"/>
    <cellStyle name="쉼표 [0] 3 9 2" xfId="708"/>
    <cellStyle name="쉼표 [0] 30" xfId="341"/>
    <cellStyle name="쉼표 [0] 30 2" xfId="844"/>
    <cellStyle name="쉼표 [0] 31" xfId="355"/>
    <cellStyle name="쉼표 [0] 31 2" xfId="853"/>
    <cellStyle name="쉼표 [0] 32" xfId="365"/>
    <cellStyle name="쉼표 [0] 32 2" xfId="860"/>
    <cellStyle name="쉼표 [0] 33" xfId="447"/>
    <cellStyle name="쉼표 [0] 33 2" xfId="916"/>
    <cellStyle name="쉼표 [0] 34" xfId="384"/>
    <cellStyle name="쉼표 [0] 34 2" xfId="873"/>
    <cellStyle name="쉼표 [0] 35" xfId="394"/>
    <cellStyle name="쉼표 [0] 35 2" xfId="880"/>
    <cellStyle name="쉼표 [0] 36" xfId="403"/>
    <cellStyle name="쉼표 [0] 36 2" xfId="887"/>
    <cellStyle name="쉼표 [0] 37" xfId="412"/>
    <cellStyle name="쉼표 [0] 37 2" xfId="894"/>
    <cellStyle name="쉼표 [0] 38" xfId="661"/>
    <cellStyle name="쉼표 [0] 38 2" xfId="596"/>
    <cellStyle name="쉼표 [0] 38 2 2" xfId="1018"/>
    <cellStyle name="쉼표 [0] 38 3" xfId="646"/>
    <cellStyle name="쉼표 [0] 38 3 2" xfId="1053"/>
    <cellStyle name="쉼표 [0] 39" xfId="571"/>
    <cellStyle name="쉼표 [0] 39 2" xfId="603"/>
    <cellStyle name="쉼표 [0] 39 2 2" xfId="1024"/>
    <cellStyle name="쉼표 [0] 39 3" xfId="649"/>
    <cellStyle name="쉼표 [0] 39 3 2" xfId="1055"/>
    <cellStyle name="쉼표 [0] 39 4" xfId="1004"/>
    <cellStyle name="쉼표 [0] 4" xfId="56"/>
    <cellStyle name="쉼표 [0] 4 10" xfId="150"/>
    <cellStyle name="쉼표 [0] 4 10 2" xfId="710"/>
    <cellStyle name="쉼표 [0] 4 11" xfId="160"/>
    <cellStyle name="쉼표 [0] 4 11 2" xfId="717"/>
    <cellStyle name="쉼표 [0] 4 12" xfId="169"/>
    <cellStyle name="쉼표 [0] 4 12 2" xfId="724"/>
    <cellStyle name="쉼표 [0] 4 13" xfId="178"/>
    <cellStyle name="쉼표 [0] 4 13 2" xfId="731"/>
    <cellStyle name="쉼표 [0] 4 14" xfId="194"/>
    <cellStyle name="쉼표 [0] 4 14 2" xfId="745"/>
    <cellStyle name="쉼표 [0] 4 15" xfId="192"/>
    <cellStyle name="쉼표 [0] 4 15 2" xfId="743"/>
    <cellStyle name="쉼표 [0] 4 16" xfId="214"/>
    <cellStyle name="쉼표 [0] 4 16 2" xfId="753"/>
    <cellStyle name="쉼표 [0] 4 17" xfId="224"/>
    <cellStyle name="쉼표 [0] 4 17 2" xfId="760"/>
    <cellStyle name="쉼표 [0] 4 18" xfId="234"/>
    <cellStyle name="쉼표 [0] 4 18 2" xfId="767"/>
    <cellStyle name="쉼표 [0] 4 19" xfId="244"/>
    <cellStyle name="쉼표 [0] 4 19 2" xfId="774"/>
    <cellStyle name="쉼표 [0] 4 2" xfId="66"/>
    <cellStyle name="쉼표 [0] 4 2 10" xfId="186"/>
    <cellStyle name="쉼표 [0] 4 2 10 2" xfId="737"/>
    <cellStyle name="쉼표 [0] 4 2 11" xfId="188"/>
    <cellStyle name="쉼표 [0] 4 2 11 2" xfId="739"/>
    <cellStyle name="쉼표 [0] 4 2 12" xfId="216"/>
    <cellStyle name="쉼표 [0] 4 2 12 2" xfId="755"/>
    <cellStyle name="쉼표 [0] 4 2 13" xfId="226"/>
    <cellStyle name="쉼표 [0] 4 2 13 2" xfId="762"/>
    <cellStyle name="쉼표 [0] 4 2 14" xfId="236"/>
    <cellStyle name="쉼표 [0] 4 2 14 2" xfId="769"/>
    <cellStyle name="쉼표 [0] 4 2 15" xfId="246"/>
    <cellStyle name="쉼표 [0] 4 2 15 2" xfId="776"/>
    <cellStyle name="쉼표 [0] 4 2 16" xfId="256"/>
    <cellStyle name="쉼표 [0] 4 2 16 2" xfId="783"/>
    <cellStyle name="쉼표 [0] 4 2 17" xfId="266"/>
    <cellStyle name="쉼표 [0] 4 2 17 2" xfId="790"/>
    <cellStyle name="쉼표 [0] 4 2 18" xfId="276"/>
    <cellStyle name="쉼표 [0] 4 2 18 2" xfId="797"/>
    <cellStyle name="쉼표 [0] 4 2 19" xfId="285"/>
    <cellStyle name="쉼표 [0] 4 2 19 2" xfId="804"/>
    <cellStyle name="쉼표 [0] 4 2 2" xfId="108"/>
    <cellStyle name="쉼표 [0] 4 2 2 2" xfId="683"/>
    <cellStyle name="쉼표 [0] 4 2 20" xfId="295"/>
    <cellStyle name="쉼표 [0] 4 2 20 2" xfId="811"/>
    <cellStyle name="쉼표 [0] 4 2 21" xfId="302"/>
    <cellStyle name="쉼표 [0] 4 2 21 2" xfId="816"/>
    <cellStyle name="쉼표 [0] 4 2 22" xfId="310"/>
    <cellStyle name="쉼표 [0] 4 2 22 2" xfId="823"/>
    <cellStyle name="쉼표 [0] 4 2 23" xfId="322"/>
    <cellStyle name="쉼표 [0] 4 2 23 2" xfId="831"/>
    <cellStyle name="쉼표 [0] 4 2 24" xfId="333"/>
    <cellStyle name="쉼표 [0] 4 2 24 2" xfId="838"/>
    <cellStyle name="쉼표 [0] 4 2 25" xfId="339"/>
    <cellStyle name="쉼표 [0] 4 2 25 2" xfId="842"/>
    <cellStyle name="쉼표 [0] 4 2 26" xfId="348"/>
    <cellStyle name="쉼표 [0] 4 2 26 2" xfId="850"/>
    <cellStyle name="쉼표 [0] 4 2 27" xfId="360"/>
    <cellStyle name="쉼표 [0] 4 2 27 2" xfId="857"/>
    <cellStyle name="쉼표 [0] 4 2 28" xfId="370"/>
    <cellStyle name="쉼표 [0] 4 2 28 2" xfId="864"/>
    <cellStyle name="쉼표 [0] 4 2 29" xfId="379"/>
    <cellStyle name="쉼표 [0] 4 2 29 2" xfId="870"/>
    <cellStyle name="쉼표 [0] 4 2 3" xfId="110"/>
    <cellStyle name="쉼표 [0] 4 2 3 2" xfId="685"/>
    <cellStyle name="쉼표 [0] 4 2 30" xfId="389"/>
    <cellStyle name="쉼표 [0] 4 2 30 2" xfId="877"/>
    <cellStyle name="쉼표 [0] 4 2 31" xfId="399"/>
    <cellStyle name="쉼표 [0] 4 2 31 2" xfId="884"/>
    <cellStyle name="쉼표 [0] 4 2 32" xfId="408"/>
    <cellStyle name="쉼표 [0] 4 2 32 2" xfId="891"/>
    <cellStyle name="쉼표 [0] 4 2 33" xfId="417"/>
    <cellStyle name="쉼표 [0] 4 2 33 2" xfId="898"/>
    <cellStyle name="쉼표 [0] 4 2 34" xfId="423"/>
    <cellStyle name="쉼표 [0] 4 2 34 2" xfId="902"/>
    <cellStyle name="쉼표 [0] 4 2 35" xfId="425"/>
    <cellStyle name="쉼표 [0] 4 2 35 2" xfId="904"/>
    <cellStyle name="쉼표 [0] 4 2 36" xfId="452"/>
    <cellStyle name="쉼표 [0] 4 2 36 2" xfId="920"/>
    <cellStyle name="쉼표 [0] 4 2 37" xfId="461"/>
    <cellStyle name="쉼표 [0] 4 2 37 2" xfId="926"/>
    <cellStyle name="쉼표 [0] 4 2 38" xfId="470"/>
    <cellStyle name="쉼표 [0] 4 2 38 2" xfId="932"/>
    <cellStyle name="쉼표 [0] 4 2 39" xfId="479"/>
    <cellStyle name="쉼표 [0] 4 2 39 2" xfId="938"/>
    <cellStyle name="쉼표 [0] 4 2 4" xfId="132"/>
    <cellStyle name="쉼표 [0] 4 2 4 2" xfId="698"/>
    <cellStyle name="쉼표 [0] 4 2 40" xfId="489"/>
    <cellStyle name="쉼표 [0] 4 2 40 2" xfId="945"/>
    <cellStyle name="쉼표 [0] 4 2 41" xfId="499"/>
    <cellStyle name="쉼표 [0] 4 2 41 2" xfId="952"/>
    <cellStyle name="쉼표 [0] 4 2 42" xfId="508"/>
    <cellStyle name="쉼표 [0] 4 2 42 2" xfId="959"/>
    <cellStyle name="쉼표 [0] 4 2 43" xfId="518"/>
    <cellStyle name="쉼표 [0] 4 2 43 2" xfId="966"/>
    <cellStyle name="쉼표 [0] 4 2 44" xfId="524"/>
    <cellStyle name="쉼표 [0] 4 2 44 2" xfId="970"/>
    <cellStyle name="쉼표 [0] 4 2 45" xfId="532"/>
    <cellStyle name="쉼표 [0] 4 2 45 2" xfId="978"/>
    <cellStyle name="쉼표 [0] 4 2 46" xfId="543"/>
    <cellStyle name="쉼표 [0] 4 2 46 2" xfId="985"/>
    <cellStyle name="쉼표 [0] 4 2 47" xfId="549"/>
    <cellStyle name="쉼표 [0] 4 2 47 2" xfId="989"/>
    <cellStyle name="쉼표 [0] 4 2 48" xfId="551"/>
    <cellStyle name="쉼표 [0] 4 2 48 2" xfId="991"/>
    <cellStyle name="쉼표 [0] 4 2 49" xfId="561"/>
    <cellStyle name="쉼표 [0] 4 2 49 2" xfId="998"/>
    <cellStyle name="쉼표 [0] 4 2 5" xfId="141"/>
    <cellStyle name="쉼표 [0] 4 2 5 2" xfId="706"/>
    <cellStyle name="쉼표 [0] 4 2 50" xfId="612"/>
    <cellStyle name="쉼표 [0] 4 2 50 2" xfId="1028"/>
    <cellStyle name="쉼표 [0] 4 2 51" xfId="614"/>
    <cellStyle name="쉼표 [0] 4 2 51 2" xfId="1030"/>
    <cellStyle name="쉼표 [0] 4 2 52" xfId="624"/>
    <cellStyle name="쉼표 [0] 4 2 52 2" xfId="1037"/>
    <cellStyle name="쉼표 [0] 4 2 53" xfId="642"/>
    <cellStyle name="쉼표 [0] 4 2 53 2" xfId="1049"/>
    <cellStyle name="쉼표 [0] 4 2 54" xfId="644"/>
    <cellStyle name="쉼표 [0] 4 2 54 2" xfId="1051"/>
    <cellStyle name="쉼표 [0] 4 2 55" xfId="670"/>
    <cellStyle name="쉼표 [0] 4 2 6" xfId="152"/>
    <cellStyle name="쉼표 [0] 4 2 6 2" xfId="712"/>
    <cellStyle name="쉼표 [0] 4 2 7" xfId="162"/>
    <cellStyle name="쉼표 [0] 4 2 7 2" xfId="719"/>
    <cellStyle name="쉼표 [0] 4 2 8" xfId="171"/>
    <cellStyle name="쉼표 [0] 4 2 8 2" xfId="726"/>
    <cellStyle name="쉼표 [0] 4 2 9" xfId="180"/>
    <cellStyle name="쉼표 [0] 4 2 9 2" xfId="733"/>
    <cellStyle name="쉼표 [0] 4 20" xfId="254"/>
    <cellStyle name="쉼표 [0] 4 20 2" xfId="781"/>
    <cellStyle name="쉼표 [0] 4 21" xfId="264"/>
    <cellStyle name="쉼표 [0] 4 21 2" xfId="788"/>
    <cellStyle name="쉼표 [0] 4 22" xfId="274"/>
    <cellStyle name="쉼표 [0] 4 22 2" xfId="795"/>
    <cellStyle name="쉼표 [0] 4 23" xfId="283"/>
    <cellStyle name="쉼표 [0] 4 23 2" xfId="802"/>
    <cellStyle name="쉼표 [0] 4 24" xfId="293"/>
    <cellStyle name="쉼표 [0] 4 24 2" xfId="809"/>
    <cellStyle name="쉼표 [0] 4 25" xfId="306"/>
    <cellStyle name="쉼표 [0] 4 25 2" xfId="819"/>
    <cellStyle name="쉼표 [0] 4 26" xfId="319"/>
    <cellStyle name="쉼표 [0] 4 26 2" xfId="828"/>
    <cellStyle name="쉼표 [0] 4 27" xfId="205"/>
    <cellStyle name="쉼표 [0] 4 27 2" xfId="749"/>
    <cellStyle name="쉼표 [0] 4 28" xfId="331"/>
    <cellStyle name="쉼표 [0] 4 28 2" xfId="836"/>
    <cellStyle name="쉼표 [0] 4 29" xfId="344"/>
    <cellStyle name="쉼표 [0] 4 29 2" xfId="846"/>
    <cellStyle name="쉼표 [0] 4 3" xfId="69"/>
    <cellStyle name="쉼표 [0] 4 3 10" xfId="187"/>
    <cellStyle name="쉼표 [0] 4 3 10 2" xfId="738"/>
    <cellStyle name="쉼표 [0] 4 3 11" xfId="189"/>
    <cellStyle name="쉼표 [0] 4 3 11 2" xfId="740"/>
    <cellStyle name="쉼표 [0] 4 3 12" xfId="217"/>
    <cellStyle name="쉼표 [0] 4 3 12 2" xfId="756"/>
    <cellStyle name="쉼표 [0] 4 3 13" xfId="227"/>
    <cellStyle name="쉼표 [0] 4 3 13 2" xfId="763"/>
    <cellStyle name="쉼표 [0] 4 3 14" xfId="237"/>
    <cellStyle name="쉼표 [0] 4 3 14 2" xfId="770"/>
    <cellStyle name="쉼표 [0] 4 3 15" xfId="247"/>
    <cellStyle name="쉼표 [0] 4 3 15 2" xfId="777"/>
    <cellStyle name="쉼표 [0] 4 3 16" xfId="257"/>
    <cellStyle name="쉼표 [0] 4 3 16 2" xfId="784"/>
    <cellStyle name="쉼표 [0] 4 3 17" xfId="267"/>
    <cellStyle name="쉼표 [0] 4 3 17 2" xfId="791"/>
    <cellStyle name="쉼표 [0] 4 3 18" xfId="277"/>
    <cellStyle name="쉼표 [0] 4 3 18 2" xfId="798"/>
    <cellStyle name="쉼표 [0] 4 3 19" xfId="286"/>
    <cellStyle name="쉼표 [0] 4 3 19 2" xfId="805"/>
    <cellStyle name="쉼표 [0] 4 3 2" xfId="109"/>
    <cellStyle name="쉼표 [0] 4 3 2 2" xfId="684"/>
    <cellStyle name="쉼표 [0] 4 3 20" xfId="296"/>
    <cellStyle name="쉼표 [0] 4 3 20 2" xfId="812"/>
    <cellStyle name="쉼표 [0] 4 3 21" xfId="303"/>
    <cellStyle name="쉼표 [0] 4 3 21 2" xfId="817"/>
    <cellStyle name="쉼표 [0] 4 3 22" xfId="311"/>
    <cellStyle name="쉼표 [0] 4 3 22 2" xfId="824"/>
    <cellStyle name="쉼표 [0] 4 3 23" xfId="323"/>
    <cellStyle name="쉼표 [0] 4 3 23 2" xfId="832"/>
    <cellStyle name="쉼표 [0] 4 3 24" xfId="334"/>
    <cellStyle name="쉼표 [0] 4 3 24 2" xfId="839"/>
    <cellStyle name="쉼표 [0] 4 3 25" xfId="340"/>
    <cellStyle name="쉼표 [0] 4 3 25 2" xfId="843"/>
    <cellStyle name="쉼표 [0] 4 3 26" xfId="349"/>
    <cellStyle name="쉼표 [0] 4 3 26 2" xfId="851"/>
    <cellStyle name="쉼표 [0] 4 3 27" xfId="361"/>
    <cellStyle name="쉼표 [0] 4 3 27 2" xfId="858"/>
    <cellStyle name="쉼표 [0] 4 3 28" xfId="371"/>
    <cellStyle name="쉼표 [0] 4 3 28 2" xfId="865"/>
    <cellStyle name="쉼표 [0] 4 3 29" xfId="380"/>
    <cellStyle name="쉼표 [0] 4 3 29 2" xfId="871"/>
    <cellStyle name="쉼표 [0] 4 3 3" xfId="111"/>
    <cellStyle name="쉼표 [0] 4 3 3 2" xfId="686"/>
    <cellStyle name="쉼표 [0] 4 3 30" xfId="390"/>
    <cellStyle name="쉼표 [0] 4 3 30 2" xfId="878"/>
    <cellStyle name="쉼표 [0] 4 3 31" xfId="400"/>
    <cellStyle name="쉼표 [0] 4 3 31 2" xfId="885"/>
    <cellStyle name="쉼표 [0] 4 3 32" xfId="409"/>
    <cellStyle name="쉼표 [0] 4 3 32 2" xfId="892"/>
    <cellStyle name="쉼표 [0] 4 3 33" xfId="418"/>
    <cellStyle name="쉼표 [0] 4 3 33 2" xfId="899"/>
    <cellStyle name="쉼표 [0] 4 3 34" xfId="424"/>
    <cellStyle name="쉼표 [0] 4 3 34 2" xfId="903"/>
    <cellStyle name="쉼표 [0] 4 3 35" xfId="426"/>
    <cellStyle name="쉼표 [0] 4 3 35 2" xfId="905"/>
    <cellStyle name="쉼표 [0] 4 3 36" xfId="453"/>
    <cellStyle name="쉼표 [0] 4 3 36 2" xfId="921"/>
    <cellStyle name="쉼표 [0] 4 3 37" xfId="462"/>
    <cellStyle name="쉼표 [0] 4 3 37 2" xfId="927"/>
    <cellStyle name="쉼표 [0] 4 3 38" xfId="471"/>
    <cellStyle name="쉼표 [0] 4 3 38 2" xfId="933"/>
    <cellStyle name="쉼표 [0] 4 3 39" xfId="480"/>
    <cellStyle name="쉼표 [0] 4 3 39 2" xfId="939"/>
    <cellStyle name="쉼표 [0] 4 3 4" xfId="133"/>
    <cellStyle name="쉼표 [0] 4 3 4 2" xfId="699"/>
    <cellStyle name="쉼표 [0] 4 3 40" xfId="490"/>
    <cellStyle name="쉼표 [0] 4 3 40 2" xfId="946"/>
    <cellStyle name="쉼표 [0] 4 3 41" xfId="500"/>
    <cellStyle name="쉼표 [0] 4 3 41 2" xfId="953"/>
    <cellStyle name="쉼표 [0] 4 3 42" xfId="509"/>
    <cellStyle name="쉼표 [0] 4 3 42 2" xfId="960"/>
    <cellStyle name="쉼표 [0] 4 3 43" xfId="519"/>
    <cellStyle name="쉼표 [0] 4 3 43 2" xfId="967"/>
    <cellStyle name="쉼표 [0] 4 3 44" xfId="525"/>
    <cellStyle name="쉼표 [0] 4 3 44 2" xfId="971"/>
    <cellStyle name="쉼표 [0] 4 3 45" xfId="533"/>
    <cellStyle name="쉼표 [0] 4 3 45 2" xfId="979"/>
    <cellStyle name="쉼표 [0] 4 3 46" xfId="544"/>
    <cellStyle name="쉼표 [0] 4 3 46 2" xfId="986"/>
    <cellStyle name="쉼표 [0] 4 3 47" xfId="550"/>
    <cellStyle name="쉼표 [0] 4 3 47 2" xfId="990"/>
    <cellStyle name="쉼표 [0] 4 3 48" xfId="552"/>
    <cellStyle name="쉼표 [0] 4 3 48 2" xfId="992"/>
    <cellStyle name="쉼표 [0] 4 3 49" xfId="562"/>
    <cellStyle name="쉼표 [0] 4 3 49 2" xfId="999"/>
    <cellStyle name="쉼표 [0] 4 3 5" xfId="142"/>
    <cellStyle name="쉼표 [0] 4 3 5 2" xfId="707"/>
    <cellStyle name="쉼표 [0] 4 3 50" xfId="613"/>
    <cellStyle name="쉼표 [0] 4 3 50 2" xfId="1029"/>
    <cellStyle name="쉼표 [0] 4 3 51" xfId="615"/>
    <cellStyle name="쉼표 [0] 4 3 51 2" xfId="1031"/>
    <cellStyle name="쉼표 [0] 4 3 52" xfId="625"/>
    <cellStyle name="쉼표 [0] 4 3 52 2" xfId="1038"/>
    <cellStyle name="쉼표 [0] 4 3 53" xfId="643"/>
    <cellStyle name="쉼표 [0] 4 3 53 2" xfId="1050"/>
    <cellStyle name="쉼표 [0] 4 3 54" xfId="645"/>
    <cellStyle name="쉼표 [0] 4 3 54 2" xfId="1052"/>
    <cellStyle name="쉼표 [0] 4 3 55" xfId="672"/>
    <cellStyle name="쉼표 [0] 4 3 6" xfId="153"/>
    <cellStyle name="쉼표 [0] 4 3 6 2" xfId="713"/>
    <cellStyle name="쉼표 [0] 4 3 7" xfId="163"/>
    <cellStyle name="쉼표 [0] 4 3 7 2" xfId="720"/>
    <cellStyle name="쉼표 [0] 4 3 8" xfId="172"/>
    <cellStyle name="쉼표 [0] 4 3 8 2" xfId="727"/>
    <cellStyle name="쉼표 [0] 4 3 9" xfId="181"/>
    <cellStyle name="쉼표 [0] 4 3 9 2" xfId="734"/>
    <cellStyle name="쉼표 [0] 4 30" xfId="346"/>
    <cellStyle name="쉼표 [0] 4 30 2" xfId="848"/>
    <cellStyle name="쉼표 [0] 4 31" xfId="358"/>
    <cellStyle name="쉼표 [0] 4 31 2" xfId="855"/>
    <cellStyle name="쉼표 [0] 4 32" xfId="368"/>
    <cellStyle name="쉼표 [0] 4 32 2" xfId="862"/>
    <cellStyle name="쉼표 [0] 4 33" xfId="377"/>
    <cellStyle name="쉼표 [0] 4 33 2" xfId="868"/>
    <cellStyle name="쉼표 [0] 4 34" xfId="387"/>
    <cellStyle name="쉼표 [0] 4 34 2" xfId="875"/>
    <cellStyle name="쉼표 [0] 4 35" xfId="397"/>
    <cellStyle name="쉼표 [0] 4 35 2" xfId="882"/>
    <cellStyle name="쉼표 [0] 4 36" xfId="406"/>
    <cellStyle name="쉼표 [0] 4 36 2" xfId="889"/>
    <cellStyle name="쉼표 [0] 4 37" xfId="415"/>
    <cellStyle name="쉼표 [0] 4 37 2" xfId="896"/>
    <cellStyle name="쉼표 [0] 4 38" xfId="430"/>
    <cellStyle name="쉼표 [0] 4 38 2" xfId="909"/>
    <cellStyle name="쉼표 [0] 4 39" xfId="428"/>
    <cellStyle name="쉼표 [0] 4 39 2" xfId="907"/>
    <cellStyle name="쉼표 [0] 4 4" xfId="96"/>
    <cellStyle name="쉼표 [0] 4 4 2" xfId="677"/>
    <cellStyle name="쉼표 [0] 4 40" xfId="450"/>
    <cellStyle name="쉼표 [0] 4 40 2" xfId="918"/>
    <cellStyle name="쉼표 [0] 4 41" xfId="459"/>
    <cellStyle name="쉼표 [0] 4 41 2" xfId="924"/>
    <cellStyle name="쉼표 [0] 4 42" xfId="468"/>
    <cellStyle name="쉼표 [0] 4 42 2" xfId="930"/>
    <cellStyle name="쉼표 [0] 4 43" xfId="477"/>
    <cellStyle name="쉼표 [0] 4 43 2" xfId="936"/>
    <cellStyle name="쉼표 [0] 4 44" xfId="487"/>
    <cellStyle name="쉼표 [0] 4 44 2" xfId="943"/>
    <cellStyle name="쉼표 [0] 4 45" xfId="497"/>
    <cellStyle name="쉼표 [0] 4 45 2" xfId="950"/>
    <cellStyle name="쉼표 [0] 4 46" xfId="506"/>
    <cellStyle name="쉼표 [0] 4 46 2" xfId="957"/>
    <cellStyle name="쉼표 [0] 4 47" xfId="516"/>
    <cellStyle name="쉼표 [0] 4 47 2" xfId="964"/>
    <cellStyle name="쉼표 [0] 4 48" xfId="527"/>
    <cellStyle name="쉼표 [0] 4 48 2" xfId="973"/>
    <cellStyle name="쉼표 [0] 4 49" xfId="529"/>
    <cellStyle name="쉼표 [0] 4 49 2" xfId="975"/>
    <cellStyle name="쉼표 [0] 4 5" xfId="94"/>
    <cellStyle name="쉼표 [0] 4 5 2" xfId="675"/>
    <cellStyle name="쉼표 [0] 4 50" xfId="541"/>
    <cellStyle name="쉼표 [0] 4 50 2" xfId="983"/>
    <cellStyle name="쉼표 [0] 4 51" xfId="556"/>
    <cellStyle name="쉼표 [0] 4 51 2" xfId="996"/>
    <cellStyle name="쉼표 [0] 4 52" xfId="600"/>
    <cellStyle name="쉼표 [0] 4 52 2" xfId="1022"/>
    <cellStyle name="쉼표 [0] 4 53" xfId="598"/>
    <cellStyle name="쉼표 [0] 4 53 2" xfId="1020"/>
    <cellStyle name="쉼표 [0] 4 54" xfId="619"/>
    <cellStyle name="쉼표 [0] 4 54 2" xfId="1035"/>
    <cellStyle name="쉼표 [0] 4 55" xfId="630"/>
    <cellStyle name="쉼표 [0] 4 55 2" xfId="1043"/>
    <cellStyle name="쉼표 [0] 4 56" xfId="628"/>
    <cellStyle name="쉼표 [0] 4 56 2" xfId="1041"/>
    <cellStyle name="쉼표 [0] 4 57" xfId="666"/>
    <cellStyle name="쉼표 [0] 4 6" xfId="116"/>
    <cellStyle name="쉼표 [0] 4 6 2" xfId="691"/>
    <cellStyle name="쉼표 [0] 4 7" xfId="114"/>
    <cellStyle name="쉼표 [0] 4 7 2" xfId="689"/>
    <cellStyle name="쉼표 [0] 4 8" xfId="137"/>
    <cellStyle name="쉼표 [0] 4 8 2" xfId="702"/>
    <cellStyle name="쉼표 [0] 4 9" xfId="139"/>
    <cellStyle name="쉼표 [0] 4 9 2" xfId="704"/>
    <cellStyle name="쉼표 [0] 40" xfId="580"/>
    <cellStyle name="쉼표 [0] 40 2" xfId="616"/>
    <cellStyle name="쉼표 [0] 40 2 2" xfId="1032"/>
    <cellStyle name="쉼표 [0] 40 3" xfId="652"/>
    <cellStyle name="쉼표 [0] 40 3 2" xfId="1057"/>
    <cellStyle name="쉼표 [0] 40 4" xfId="1013"/>
    <cellStyle name="쉼표 [0] 41" xfId="484"/>
    <cellStyle name="쉼표 [0] 41 2" xfId="941"/>
    <cellStyle name="쉼표 [0] 42" xfId="494"/>
    <cellStyle name="쉼표 [0] 42 2" xfId="948"/>
    <cellStyle name="쉼표 [0] 43" xfId="503"/>
    <cellStyle name="쉼표 [0] 43 2" xfId="955"/>
    <cellStyle name="쉼표 [0] 44" xfId="513"/>
    <cellStyle name="쉼표 [0] 44 2" xfId="962"/>
    <cellStyle name="쉼표 [0] 45" xfId="531"/>
    <cellStyle name="쉼표 [0] 45 2" xfId="977"/>
    <cellStyle name="쉼표 [0] 46" xfId="438"/>
    <cellStyle name="쉼표 [0] 46 2" xfId="913"/>
    <cellStyle name="쉼표 [0] 47" xfId="538"/>
    <cellStyle name="쉼표 [0] 47 2" xfId="981"/>
    <cellStyle name="쉼표 [0] 48" xfId="565"/>
    <cellStyle name="쉼표 [0] 48 2" xfId="626"/>
    <cellStyle name="쉼표 [0] 48 2 2" xfId="1039"/>
    <cellStyle name="쉼표 [0] 48 3" xfId="655"/>
    <cellStyle name="쉼표 [0] 48 3 2" xfId="1059"/>
    <cellStyle name="쉼표 [0] 48 4" xfId="1000"/>
    <cellStyle name="쉼표 [0] 49" xfId="577"/>
    <cellStyle name="쉼표 [0] 49 2" xfId="633"/>
    <cellStyle name="쉼표 [0] 49 2 2" xfId="1045"/>
    <cellStyle name="쉼표 [0] 49 3" xfId="658"/>
    <cellStyle name="쉼표 [0] 49 3 2" xfId="1061"/>
    <cellStyle name="쉼표 [0] 49 4" xfId="1010"/>
    <cellStyle name="쉼표 [0] 5" xfId="57"/>
    <cellStyle name="쉼표 [0] 5 10" xfId="168"/>
    <cellStyle name="쉼표 [0] 5 10 2" xfId="723"/>
    <cellStyle name="쉼표 [0] 5 11" xfId="177"/>
    <cellStyle name="쉼표 [0] 5 11 2" xfId="730"/>
    <cellStyle name="쉼표 [0] 5 12" xfId="184"/>
    <cellStyle name="쉼표 [0] 5 12 2" xfId="735"/>
    <cellStyle name="쉼표 [0] 5 13" xfId="195"/>
    <cellStyle name="쉼표 [0] 5 13 2" xfId="746"/>
    <cellStyle name="쉼표 [0] 5 14" xfId="213"/>
    <cellStyle name="쉼표 [0] 5 14 2" xfId="752"/>
    <cellStyle name="쉼표 [0] 5 15" xfId="223"/>
    <cellStyle name="쉼표 [0] 5 15 2" xfId="759"/>
    <cellStyle name="쉼표 [0] 5 16" xfId="233"/>
    <cellStyle name="쉼표 [0] 5 16 2" xfId="766"/>
    <cellStyle name="쉼표 [0] 5 17" xfId="243"/>
    <cellStyle name="쉼표 [0] 5 17 2" xfId="773"/>
    <cellStyle name="쉼표 [0] 5 18" xfId="253"/>
    <cellStyle name="쉼표 [0] 5 18 2" xfId="780"/>
    <cellStyle name="쉼표 [0] 5 19" xfId="263"/>
    <cellStyle name="쉼표 [0] 5 19 2" xfId="787"/>
    <cellStyle name="쉼표 [0] 5 2" xfId="67"/>
    <cellStyle name="쉼표 [0] 5 2 2" xfId="671"/>
    <cellStyle name="쉼표 [0] 5 20" xfId="273"/>
    <cellStyle name="쉼표 [0] 5 20 2" xfId="794"/>
    <cellStyle name="쉼표 [0] 5 21" xfId="282"/>
    <cellStyle name="쉼표 [0] 5 21 2" xfId="801"/>
    <cellStyle name="쉼표 [0] 5 22" xfId="292"/>
    <cellStyle name="쉼표 [0] 5 22 2" xfId="808"/>
    <cellStyle name="쉼표 [0] 5 23" xfId="299"/>
    <cellStyle name="쉼표 [0] 5 23 2" xfId="813"/>
    <cellStyle name="쉼표 [0] 5 24" xfId="305"/>
    <cellStyle name="쉼표 [0] 5 24 2" xfId="818"/>
    <cellStyle name="쉼표 [0] 5 25" xfId="318"/>
    <cellStyle name="쉼표 [0] 5 25 2" xfId="827"/>
    <cellStyle name="쉼표 [0] 5 26" xfId="330"/>
    <cellStyle name="쉼표 [0] 5 26 2" xfId="835"/>
    <cellStyle name="쉼표 [0] 5 27" xfId="337"/>
    <cellStyle name="쉼표 [0] 5 27 2" xfId="840"/>
    <cellStyle name="쉼표 [0] 5 28" xfId="343"/>
    <cellStyle name="쉼표 [0] 5 28 2" xfId="845"/>
    <cellStyle name="쉼표 [0] 5 29" xfId="357"/>
    <cellStyle name="쉼표 [0] 5 29 2" xfId="854"/>
    <cellStyle name="쉼표 [0] 5 3" xfId="97"/>
    <cellStyle name="쉼표 [0] 5 3 2" xfId="678"/>
    <cellStyle name="쉼표 [0] 5 30" xfId="367"/>
    <cellStyle name="쉼표 [0] 5 30 2" xfId="861"/>
    <cellStyle name="쉼표 [0] 5 31" xfId="376"/>
    <cellStyle name="쉼표 [0] 5 31 2" xfId="867"/>
    <cellStyle name="쉼표 [0] 5 32" xfId="386"/>
    <cellStyle name="쉼표 [0] 5 32 2" xfId="874"/>
    <cellStyle name="쉼표 [0] 5 33" xfId="396"/>
    <cellStyle name="쉼표 [0] 5 33 2" xfId="881"/>
    <cellStyle name="쉼표 [0] 5 34" xfId="405"/>
    <cellStyle name="쉼표 [0] 5 34 2" xfId="888"/>
    <cellStyle name="쉼표 [0] 5 35" xfId="414"/>
    <cellStyle name="쉼표 [0] 5 35 2" xfId="895"/>
    <cellStyle name="쉼표 [0] 5 36" xfId="421"/>
    <cellStyle name="쉼표 [0] 5 36 2" xfId="900"/>
    <cellStyle name="쉼표 [0] 5 37" xfId="431"/>
    <cellStyle name="쉼표 [0] 5 37 2" xfId="910"/>
    <cellStyle name="쉼표 [0] 5 38" xfId="449"/>
    <cellStyle name="쉼표 [0] 5 38 2" xfId="917"/>
    <cellStyle name="쉼표 [0] 5 39" xfId="458"/>
    <cellStyle name="쉼표 [0] 5 39 2" xfId="923"/>
    <cellStyle name="쉼표 [0] 5 4" xfId="106"/>
    <cellStyle name="쉼표 [0] 5 4 2" xfId="681"/>
    <cellStyle name="쉼표 [0] 5 40" xfId="467"/>
    <cellStyle name="쉼표 [0] 5 40 2" xfId="929"/>
    <cellStyle name="쉼표 [0] 5 41" xfId="476"/>
    <cellStyle name="쉼표 [0] 5 41 2" xfId="935"/>
    <cellStyle name="쉼표 [0] 5 42" xfId="486"/>
    <cellStyle name="쉼표 [0] 5 42 2" xfId="942"/>
    <cellStyle name="쉼표 [0] 5 43" xfId="496"/>
    <cellStyle name="쉼표 [0] 5 43 2" xfId="949"/>
    <cellStyle name="쉼표 [0] 5 44" xfId="505"/>
    <cellStyle name="쉼표 [0] 5 44 2" xfId="956"/>
    <cellStyle name="쉼표 [0] 5 45" xfId="515"/>
    <cellStyle name="쉼표 [0] 5 45 2" xfId="963"/>
    <cellStyle name="쉼표 [0] 5 46" xfId="522"/>
    <cellStyle name="쉼표 [0] 5 46 2" xfId="968"/>
    <cellStyle name="쉼표 [0] 5 47" xfId="526"/>
    <cellStyle name="쉼표 [0] 5 47 2" xfId="972"/>
    <cellStyle name="쉼표 [0] 5 48" xfId="540"/>
    <cellStyle name="쉼표 [0] 5 48 2" xfId="982"/>
    <cellStyle name="쉼표 [0] 5 49" xfId="547"/>
    <cellStyle name="쉼표 [0] 5 49 2" xfId="987"/>
    <cellStyle name="쉼표 [0] 5 5" xfId="117"/>
    <cellStyle name="쉼표 [0] 5 5 2" xfId="692"/>
    <cellStyle name="쉼표 [0] 5 50" xfId="557"/>
    <cellStyle name="쉼표 [0] 5 50 2" xfId="997"/>
    <cellStyle name="쉼표 [0] 5 51" xfId="601"/>
    <cellStyle name="쉼표 [0] 5 51 2" xfId="1023"/>
    <cellStyle name="쉼표 [0] 5 52" xfId="610"/>
    <cellStyle name="쉼표 [0] 5 52 2" xfId="1026"/>
    <cellStyle name="쉼표 [0] 5 53" xfId="620"/>
    <cellStyle name="쉼표 [0] 5 53 2" xfId="1036"/>
    <cellStyle name="쉼표 [0] 5 54" xfId="631"/>
    <cellStyle name="쉼표 [0] 5 54 2" xfId="1044"/>
    <cellStyle name="쉼표 [0] 5 55" xfId="640"/>
    <cellStyle name="쉼표 [0] 5 55 2" xfId="1047"/>
    <cellStyle name="쉼표 [0] 5 56" xfId="667"/>
    <cellStyle name="쉼표 [0] 5 6" xfId="130"/>
    <cellStyle name="쉼표 [0] 5 6 2" xfId="696"/>
    <cellStyle name="쉼표 [0] 5 7" xfId="136"/>
    <cellStyle name="쉼표 [0] 5 7 2" xfId="701"/>
    <cellStyle name="쉼표 [0] 5 8" xfId="149"/>
    <cellStyle name="쉼표 [0] 5 8 2" xfId="709"/>
    <cellStyle name="쉼표 [0] 5 9" xfId="159"/>
    <cellStyle name="쉼표 [0] 5 9 2" xfId="716"/>
    <cellStyle name="쉼표 [0] 6" xfId="92"/>
    <cellStyle name="쉼표 [0] 6 2" xfId="673"/>
    <cellStyle name="쉼표 [0] 7" xfId="99"/>
    <cellStyle name="쉼표 [0] 7 2" xfId="679"/>
    <cellStyle name="쉼표 [0] 8" xfId="112"/>
    <cellStyle name="쉼표 [0] 8 2" xfId="687"/>
    <cellStyle name="쉼표 [0] 9" xfId="119"/>
    <cellStyle name="쉼표 [0] 9 2" xfId="693"/>
    <cellStyle name="콤마 [0]_1.기안을지" xfId="90"/>
    <cellStyle name="콤마_1.기안을지" xfId="91"/>
    <cellStyle name="표준" xfId="0" builtinId="0"/>
    <cellStyle name="표준 2" xfId="587"/>
    <cellStyle name="표준 2 10" xfId="158"/>
    <cellStyle name="표준 2 11" xfId="167"/>
    <cellStyle name="표준 2 12" xfId="176"/>
    <cellStyle name="표준 2 13" xfId="183"/>
    <cellStyle name="표준 2 14" xfId="196"/>
    <cellStyle name="표준 2 15" xfId="212"/>
    <cellStyle name="표준 2 16" xfId="222"/>
    <cellStyle name="표준 2 17" xfId="232"/>
    <cellStyle name="표준 2 18" xfId="242"/>
    <cellStyle name="표준 2 19" xfId="252"/>
    <cellStyle name="표준 2 2" xfId="58"/>
    <cellStyle name="표준 2 2 2" xfId="59"/>
    <cellStyle name="표준 2 2 3" xfId="570"/>
    <cellStyle name="표준 2 2 4" xfId="582"/>
    <cellStyle name="표준 2 2 5" xfId="563"/>
    <cellStyle name="표준 2 2 6" xfId="581"/>
    <cellStyle name="표준 2 2 7" xfId="564"/>
    <cellStyle name="표준 2 2 8" xfId="591"/>
    <cellStyle name="표준 2 2 9" xfId="594"/>
    <cellStyle name="표준 2 20" xfId="262"/>
    <cellStyle name="표준 2 21" xfId="272"/>
    <cellStyle name="표준 2 22" xfId="281"/>
    <cellStyle name="표준 2 23" xfId="291"/>
    <cellStyle name="표준 2 24" xfId="298"/>
    <cellStyle name="표준 2 25" xfId="304"/>
    <cellStyle name="표준 2 26" xfId="317"/>
    <cellStyle name="표준 2 27" xfId="329"/>
    <cellStyle name="표준 2 28" xfId="336"/>
    <cellStyle name="표준 2 29" xfId="342"/>
    <cellStyle name="표준 2 3" xfId="63"/>
    <cellStyle name="표준 2 30" xfId="356"/>
    <cellStyle name="표준 2 31" xfId="366"/>
    <cellStyle name="표준 2 32" xfId="375"/>
    <cellStyle name="표준 2 33" xfId="385"/>
    <cellStyle name="표준 2 34" xfId="395"/>
    <cellStyle name="표준 2 35" xfId="404"/>
    <cellStyle name="표준 2 36" xfId="413"/>
    <cellStyle name="표준 2 37" xfId="420"/>
    <cellStyle name="표준 2 38" xfId="432"/>
    <cellStyle name="표준 2 39" xfId="448"/>
    <cellStyle name="표준 2 4" xfId="98"/>
    <cellStyle name="표준 2 40" xfId="457"/>
    <cellStyle name="표준 2 41" xfId="466"/>
    <cellStyle name="표준 2 42" xfId="475"/>
    <cellStyle name="표준 2 43" xfId="485"/>
    <cellStyle name="표준 2 44" xfId="495"/>
    <cellStyle name="표준 2 45" xfId="504"/>
    <cellStyle name="표준 2 46" xfId="514"/>
    <cellStyle name="표준 2 47" xfId="521"/>
    <cellStyle name="표준 2 48" xfId="510"/>
    <cellStyle name="표준 2 49" xfId="539"/>
    <cellStyle name="표준 2 5" xfId="105"/>
    <cellStyle name="표준 2 50" xfId="546"/>
    <cellStyle name="표준 2 51" xfId="558"/>
    <cellStyle name="표준 2 52" xfId="569"/>
    <cellStyle name="표준 2 52 2" xfId="602"/>
    <cellStyle name="표준 2 52 3" xfId="648"/>
    <cellStyle name="표준 2 53" xfId="583"/>
    <cellStyle name="표준 2 53 2" xfId="609"/>
    <cellStyle name="표준 2 53 3" xfId="650"/>
    <cellStyle name="표준 2 54" xfId="584"/>
    <cellStyle name="표준 2 54 2" xfId="621"/>
    <cellStyle name="표준 2 54 3" xfId="654"/>
    <cellStyle name="표준 2 55" xfId="585"/>
    <cellStyle name="표준 2 55 2" xfId="632"/>
    <cellStyle name="표준 2 55 3" xfId="657"/>
    <cellStyle name="표준 2 56" xfId="586"/>
    <cellStyle name="표준 2 56 2" xfId="639"/>
    <cellStyle name="표준 2 56 3" xfId="659"/>
    <cellStyle name="표준 2 57" xfId="590"/>
    <cellStyle name="표준 2 58" xfId="595"/>
    <cellStyle name="표준 2 6" xfId="118"/>
    <cellStyle name="표준 2 7" xfId="129"/>
    <cellStyle name="표준 2 8" xfId="135"/>
    <cellStyle name="표준 2 9" xfId="148"/>
    <cellStyle name="표준 3" xfId="60"/>
    <cellStyle name="표준 3 10" xfId="165"/>
    <cellStyle name="표준 3 11" xfId="174"/>
    <cellStyle name="표준 3 12" xfId="182"/>
    <cellStyle name="표준 3 13" xfId="197"/>
    <cellStyle name="표준 3 14" xfId="210"/>
    <cellStyle name="표준 3 15" xfId="220"/>
    <cellStyle name="표준 3 16" xfId="230"/>
    <cellStyle name="표준 3 17" xfId="240"/>
    <cellStyle name="표준 3 18" xfId="250"/>
    <cellStyle name="표준 3 19" xfId="260"/>
    <cellStyle name="표준 3 2" xfId="68"/>
    <cellStyle name="표준 3 20" xfId="270"/>
    <cellStyle name="표준 3 21" xfId="279"/>
    <cellStyle name="표준 3 22" xfId="289"/>
    <cellStyle name="표준 3 23" xfId="297"/>
    <cellStyle name="표준 3 24" xfId="287"/>
    <cellStyle name="표준 3 25" xfId="315"/>
    <cellStyle name="표준 3 26" xfId="327"/>
    <cellStyle name="표준 3 27" xfId="335"/>
    <cellStyle name="표준 3 28" xfId="325"/>
    <cellStyle name="표준 3 29" xfId="354"/>
    <cellStyle name="표준 3 3" xfId="100"/>
    <cellStyle name="표준 3 30" xfId="364"/>
    <cellStyle name="표준 3 31" xfId="374"/>
    <cellStyle name="표준 3 32" xfId="383"/>
    <cellStyle name="표준 3 33" xfId="393"/>
    <cellStyle name="표준 3 34" xfId="402"/>
    <cellStyle name="표준 3 35" xfId="411"/>
    <cellStyle name="표준 3 36" xfId="419"/>
    <cellStyle name="표준 3 37" xfId="434"/>
    <cellStyle name="표준 3 38" xfId="446"/>
    <cellStyle name="표준 3 39" xfId="456"/>
    <cellStyle name="표준 3 4" xfId="104"/>
    <cellStyle name="표준 3 40" xfId="465"/>
    <cellStyle name="표준 3 41" xfId="474"/>
    <cellStyle name="표준 3 42" xfId="483"/>
    <cellStyle name="표준 3 43" xfId="493"/>
    <cellStyle name="표준 3 44" xfId="502"/>
    <cellStyle name="표준 3 45" xfId="512"/>
    <cellStyle name="표준 3 46" xfId="520"/>
    <cellStyle name="표준 3 47" xfId="439"/>
    <cellStyle name="표준 3 48" xfId="537"/>
    <cellStyle name="표준 3 49" xfId="545"/>
    <cellStyle name="표준 3 5" xfId="120"/>
    <cellStyle name="표준 3 50" xfId="559"/>
    <cellStyle name="표준 3 51" xfId="604"/>
    <cellStyle name="표준 3 52" xfId="608"/>
    <cellStyle name="표준 3 53" xfId="622"/>
    <cellStyle name="표준 3 54" xfId="634"/>
    <cellStyle name="표준 3 55" xfId="638"/>
    <cellStyle name="표준 3 6" xfId="128"/>
    <cellStyle name="표준 3 7" xfId="122"/>
    <cellStyle name="표준 3 8" xfId="147"/>
    <cellStyle name="표준 3 9" xfId="156"/>
    <cellStyle name="표준 4" xfId="61"/>
    <cellStyle name="표준 5" xfId="6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"/>
  <sheetViews>
    <sheetView topLeftCell="A470" workbookViewId="0">
      <selection activeCell="F13" sqref="F13"/>
    </sheetView>
  </sheetViews>
  <sheetFormatPr defaultRowHeight="16.5"/>
  <cols>
    <col min="1" max="1" width="9" style="73"/>
    <col min="2" max="2" width="23.875" style="73" bestFit="1" customWidth="1"/>
    <col min="3" max="3" width="7.75" style="73" bestFit="1" customWidth="1"/>
    <col min="4" max="5" width="12.5" style="73" bestFit="1" customWidth="1"/>
    <col min="6" max="6" width="9.625" style="73" bestFit="1" customWidth="1"/>
    <col min="7" max="7" width="7.875" style="73" bestFit="1" customWidth="1"/>
    <col min="8" max="16384" width="9" style="73"/>
  </cols>
  <sheetData>
    <row r="1" spans="1:7" ht="22.5">
      <c r="A1" s="70" t="s">
        <v>160</v>
      </c>
      <c r="B1" s="71"/>
      <c r="C1" s="71"/>
      <c r="D1" s="71"/>
      <c r="E1" s="71"/>
      <c r="F1" s="71"/>
      <c r="G1" s="72"/>
    </row>
    <row r="2" spans="1:7" ht="22.5">
      <c r="A2" s="74" t="s">
        <v>161</v>
      </c>
      <c r="B2" s="75"/>
      <c r="C2" s="75"/>
      <c r="D2" s="75"/>
      <c r="E2" s="75"/>
      <c r="F2" s="75"/>
      <c r="G2" s="76"/>
    </row>
    <row r="3" spans="1:7">
      <c r="A3" s="77" t="s">
        <v>162</v>
      </c>
      <c r="B3" s="78"/>
      <c r="C3" s="78"/>
      <c r="D3" s="78"/>
      <c r="E3" s="78"/>
      <c r="F3" s="78"/>
      <c r="G3" s="79"/>
    </row>
    <row r="4" spans="1:7">
      <c r="A4" s="80" t="s">
        <v>161</v>
      </c>
      <c r="B4" s="81"/>
      <c r="C4" s="81"/>
      <c r="D4" s="81"/>
      <c r="E4" s="81"/>
      <c r="F4" s="81"/>
      <c r="G4" s="82"/>
    </row>
    <row r="5" spans="1:7">
      <c r="A5" s="83" t="s">
        <v>163</v>
      </c>
      <c r="B5" s="83" t="s">
        <v>164</v>
      </c>
      <c r="C5" s="84" t="s">
        <v>165</v>
      </c>
      <c r="D5" s="85"/>
      <c r="E5" s="85"/>
      <c r="F5" s="85"/>
      <c r="G5" s="86"/>
    </row>
    <row r="6" spans="1:7">
      <c r="A6" s="87"/>
      <c r="B6" s="87"/>
      <c r="C6" s="88" t="s">
        <v>166</v>
      </c>
      <c r="D6" s="88" t="s">
        <v>167</v>
      </c>
      <c r="E6" s="88" t="s">
        <v>168</v>
      </c>
      <c r="F6" s="88" t="s">
        <v>169</v>
      </c>
      <c r="G6" s="88" t="s">
        <v>170</v>
      </c>
    </row>
    <row r="7" spans="1:7">
      <c r="A7" s="89" t="s">
        <v>171</v>
      </c>
      <c r="B7" s="90" t="s">
        <v>172</v>
      </c>
      <c r="C7" s="91">
        <v>64</v>
      </c>
      <c r="D7" s="91">
        <v>836330</v>
      </c>
      <c r="E7" s="91">
        <v>0</v>
      </c>
      <c r="F7" s="92">
        <v>0</v>
      </c>
      <c r="G7" s="92">
        <v>0.37119999999999997</v>
      </c>
    </row>
    <row r="8" spans="1:7">
      <c r="A8" s="93" t="s">
        <v>173</v>
      </c>
      <c r="B8" s="94" t="s">
        <v>174</v>
      </c>
      <c r="C8" s="95">
        <v>4</v>
      </c>
      <c r="D8" s="95">
        <v>51600</v>
      </c>
      <c r="E8" s="95">
        <v>0</v>
      </c>
      <c r="F8" s="96">
        <v>0</v>
      </c>
      <c r="G8" s="96">
        <v>0.35</v>
      </c>
    </row>
    <row r="9" spans="1:7">
      <c r="A9" s="93" t="s">
        <v>175</v>
      </c>
      <c r="B9" s="94" t="s">
        <v>176</v>
      </c>
      <c r="C9" s="95">
        <v>11</v>
      </c>
      <c r="D9" s="95">
        <v>269100</v>
      </c>
      <c r="E9" s="95">
        <v>0</v>
      </c>
      <c r="F9" s="96">
        <v>0</v>
      </c>
      <c r="G9" s="96">
        <v>0.25600000000000001</v>
      </c>
    </row>
    <row r="10" spans="1:7">
      <c r="A10" s="93" t="s">
        <v>177</v>
      </c>
      <c r="B10" s="94" t="s">
        <v>178</v>
      </c>
      <c r="C10" s="95">
        <v>0</v>
      </c>
      <c r="D10" s="95">
        <v>0</v>
      </c>
      <c r="E10" s="95">
        <v>819800</v>
      </c>
      <c r="F10" s="96">
        <v>0</v>
      </c>
      <c r="G10" s="96">
        <v>0</v>
      </c>
    </row>
    <row r="11" spans="1:7">
      <c r="A11" s="93" t="s">
        <v>28</v>
      </c>
      <c r="B11" s="94" t="s">
        <v>29</v>
      </c>
      <c r="C11" s="95">
        <v>177</v>
      </c>
      <c r="D11" s="95">
        <v>1316370</v>
      </c>
      <c r="E11" s="95">
        <v>332930</v>
      </c>
      <c r="F11" s="96">
        <v>2.9539</v>
      </c>
      <c r="G11" s="96">
        <v>0.33360000000000001</v>
      </c>
    </row>
    <row r="12" spans="1:7">
      <c r="A12" s="93" t="s">
        <v>179</v>
      </c>
      <c r="B12" s="94" t="s">
        <v>180</v>
      </c>
      <c r="C12" s="95">
        <v>869</v>
      </c>
      <c r="D12" s="95">
        <v>2226010</v>
      </c>
      <c r="E12" s="95">
        <v>0</v>
      </c>
      <c r="F12" s="96">
        <v>0</v>
      </c>
      <c r="G12" s="96">
        <v>0.38129999999999997</v>
      </c>
    </row>
    <row r="13" spans="1:7">
      <c r="A13" s="93" t="s">
        <v>181</v>
      </c>
      <c r="B13" s="94" t="s">
        <v>182</v>
      </c>
      <c r="C13" s="95">
        <v>623</v>
      </c>
      <c r="D13" s="95">
        <v>5520450</v>
      </c>
      <c r="E13" s="95">
        <v>0</v>
      </c>
      <c r="F13" s="96">
        <v>0</v>
      </c>
      <c r="G13" s="96">
        <v>0.36349999999999999</v>
      </c>
    </row>
    <row r="14" spans="1:7">
      <c r="A14" s="93" t="s">
        <v>183</v>
      </c>
      <c r="B14" s="94" t="s">
        <v>184</v>
      </c>
      <c r="C14" s="95">
        <v>3</v>
      </c>
      <c r="D14" s="95">
        <v>2690</v>
      </c>
      <c r="E14" s="95">
        <v>600</v>
      </c>
      <c r="F14" s="96">
        <v>3.4832999999999998</v>
      </c>
      <c r="G14" s="96">
        <v>0.34760000000000002</v>
      </c>
    </row>
    <row r="15" spans="1:7">
      <c r="A15" s="93" t="s">
        <v>185</v>
      </c>
      <c r="B15" s="94" t="s">
        <v>186</v>
      </c>
      <c r="C15" s="95">
        <v>20</v>
      </c>
      <c r="D15" s="95">
        <v>307300</v>
      </c>
      <c r="E15" s="95">
        <v>0</v>
      </c>
      <c r="F15" s="96">
        <v>0</v>
      </c>
      <c r="G15" s="96">
        <v>0.2361</v>
      </c>
    </row>
    <row r="16" spans="1:7">
      <c r="A16" s="93" t="s">
        <v>187</v>
      </c>
      <c r="B16" s="94" t="s">
        <v>188</v>
      </c>
      <c r="C16" s="95">
        <v>22</v>
      </c>
      <c r="D16" s="95">
        <v>84800</v>
      </c>
      <c r="E16" s="95">
        <v>146800</v>
      </c>
      <c r="F16" s="96">
        <v>-0.42230000000000001</v>
      </c>
      <c r="G16" s="96">
        <v>0.37740000000000001</v>
      </c>
    </row>
    <row r="17" spans="1:7">
      <c r="A17" s="93" t="s">
        <v>189</v>
      </c>
      <c r="B17" s="94" t="s">
        <v>190</v>
      </c>
      <c r="C17" s="95">
        <v>110</v>
      </c>
      <c r="D17" s="95">
        <v>1422220</v>
      </c>
      <c r="E17" s="95">
        <v>16200</v>
      </c>
      <c r="F17" s="96">
        <v>86.791399999999996</v>
      </c>
      <c r="G17" s="96">
        <v>0.35859999999999997</v>
      </c>
    </row>
    <row r="18" spans="1:7">
      <c r="A18" s="93" t="s">
        <v>191</v>
      </c>
      <c r="B18" s="94" t="s">
        <v>192</v>
      </c>
      <c r="C18" s="95">
        <v>0</v>
      </c>
      <c r="D18" s="95">
        <v>0</v>
      </c>
      <c r="E18" s="95">
        <v>277000</v>
      </c>
      <c r="F18" s="96">
        <v>0</v>
      </c>
      <c r="G18" s="96">
        <v>0</v>
      </c>
    </row>
    <row r="19" spans="1:7">
      <c r="A19" s="93" t="s">
        <v>193</v>
      </c>
      <c r="B19" s="94" t="s">
        <v>194</v>
      </c>
      <c r="C19" s="95">
        <v>0</v>
      </c>
      <c r="D19" s="95">
        <v>0</v>
      </c>
      <c r="E19" s="95">
        <v>183400</v>
      </c>
      <c r="F19" s="96">
        <v>0</v>
      </c>
      <c r="G19" s="96">
        <v>0</v>
      </c>
    </row>
    <row r="20" spans="1:7">
      <c r="A20" s="93" t="s">
        <v>195</v>
      </c>
      <c r="B20" s="94" t="s">
        <v>196</v>
      </c>
      <c r="C20" s="95">
        <v>0</v>
      </c>
      <c r="D20" s="95">
        <v>0</v>
      </c>
      <c r="E20" s="95">
        <v>71350</v>
      </c>
      <c r="F20" s="96">
        <v>0</v>
      </c>
      <c r="G20" s="96">
        <v>0</v>
      </c>
    </row>
    <row r="21" spans="1:7">
      <c r="A21" s="93" t="s">
        <v>197</v>
      </c>
      <c r="B21" s="94" t="s">
        <v>198</v>
      </c>
      <c r="C21" s="95">
        <v>33</v>
      </c>
      <c r="D21" s="95">
        <v>461600</v>
      </c>
      <c r="E21" s="95">
        <v>191100</v>
      </c>
      <c r="F21" s="96">
        <v>1.4155</v>
      </c>
      <c r="G21" s="96">
        <v>0.3352</v>
      </c>
    </row>
    <row r="22" spans="1:7">
      <c r="A22" s="93" t="s">
        <v>199</v>
      </c>
      <c r="B22" s="94" t="s">
        <v>200</v>
      </c>
      <c r="C22" s="95">
        <v>5</v>
      </c>
      <c r="D22" s="95">
        <v>59650</v>
      </c>
      <c r="E22" s="95">
        <v>170440</v>
      </c>
      <c r="F22" s="96">
        <v>-0.65</v>
      </c>
      <c r="G22" s="96">
        <v>0.44679999999999997</v>
      </c>
    </row>
    <row r="23" spans="1:7">
      <c r="A23" s="93" t="s">
        <v>201</v>
      </c>
      <c r="B23" s="94" t="s">
        <v>202</v>
      </c>
      <c r="C23" s="95">
        <v>0</v>
      </c>
      <c r="D23" s="95">
        <v>0</v>
      </c>
      <c r="E23" s="95">
        <v>136420</v>
      </c>
      <c r="F23" s="96">
        <v>0</v>
      </c>
      <c r="G23" s="96">
        <v>0</v>
      </c>
    </row>
    <row r="24" spans="1:7">
      <c r="A24" s="93" t="s">
        <v>203</v>
      </c>
      <c r="B24" s="94" t="s">
        <v>204</v>
      </c>
      <c r="C24" s="95">
        <v>0</v>
      </c>
      <c r="D24" s="95">
        <v>0</v>
      </c>
      <c r="E24" s="95">
        <v>6440</v>
      </c>
      <c r="F24" s="96">
        <v>0</v>
      </c>
      <c r="G24" s="96">
        <v>0</v>
      </c>
    </row>
    <row r="25" spans="1:7">
      <c r="A25" s="93" t="s">
        <v>121</v>
      </c>
      <c r="B25" s="94" t="s">
        <v>122</v>
      </c>
      <c r="C25" s="95">
        <v>2238</v>
      </c>
      <c r="D25" s="95">
        <v>8784790</v>
      </c>
      <c r="E25" s="95">
        <v>391140</v>
      </c>
      <c r="F25" s="96">
        <v>21.459499999999998</v>
      </c>
      <c r="G25" s="96">
        <v>0.36449999999999999</v>
      </c>
    </row>
    <row r="26" spans="1:7">
      <c r="A26" s="93" t="s">
        <v>205</v>
      </c>
      <c r="B26" s="94" t="s">
        <v>206</v>
      </c>
      <c r="C26" s="95">
        <v>1</v>
      </c>
      <c r="D26" s="95">
        <v>17100</v>
      </c>
      <c r="E26" s="95">
        <v>114000</v>
      </c>
      <c r="F26" s="96">
        <v>-0.85</v>
      </c>
      <c r="G26" s="96">
        <v>0.27779999999999999</v>
      </c>
    </row>
    <row r="27" spans="1:7">
      <c r="A27" s="93" t="s">
        <v>207</v>
      </c>
      <c r="B27" s="94" t="s">
        <v>208</v>
      </c>
      <c r="C27" s="95">
        <v>24</v>
      </c>
      <c r="D27" s="95">
        <v>61660</v>
      </c>
      <c r="E27" s="95">
        <v>124480</v>
      </c>
      <c r="F27" s="96">
        <v>-0.50470000000000004</v>
      </c>
      <c r="G27" s="96">
        <v>0.29530000000000001</v>
      </c>
    </row>
    <row r="28" spans="1:7">
      <c r="A28" s="93" t="s">
        <v>209</v>
      </c>
      <c r="B28" s="94" t="s">
        <v>210</v>
      </c>
      <c r="C28" s="95">
        <v>1</v>
      </c>
      <c r="D28" s="95">
        <v>21600</v>
      </c>
      <c r="E28" s="95">
        <v>598500</v>
      </c>
      <c r="F28" s="96">
        <v>-0.96389999999999998</v>
      </c>
      <c r="G28" s="96">
        <v>0.22220000000000001</v>
      </c>
    </row>
    <row r="29" spans="1:7">
      <c r="A29" s="93" t="s">
        <v>30</v>
      </c>
      <c r="B29" s="94" t="s">
        <v>211</v>
      </c>
      <c r="C29" s="95">
        <v>389</v>
      </c>
      <c r="D29" s="95">
        <v>2146540</v>
      </c>
      <c r="E29" s="95">
        <v>2563930</v>
      </c>
      <c r="F29" s="96">
        <v>-0.1628</v>
      </c>
      <c r="G29" s="96">
        <v>0.36370000000000002</v>
      </c>
    </row>
    <row r="30" spans="1:7">
      <c r="A30" s="93" t="s">
        <v>212</v>
      </c>
      <c r="B30" s="94" t="s">
        <v>213</v>
      </c>
      <c r="C30" s="95">
        <v>2345</v>
      </c>
      <c r="D30" s="95">
        <v>20808470</v>
      </c>
      <c r="E30" s="95">
        <v>0</v>
      </c>
      <c r="F30" s="96">
        <v>0</v>
      </c>
      <c r="G30" s="96">
        <v>0.183</v>
      </c>
    </row>
    <row r="31" spans="1:7">
      <c r="A31" s="93" t="s">
        <v>214</v>
      </c>
      <c r="B31" s="94" t="s">
        <v>215</v>
      </c>
      <c r="C31" s="95">
        <v>328</v>
      </c>
      <c r="D31" s="95">
        <v>5931200</v>
      </c>
      <c r="E31" s="95">
        <v>0</v>
      </c>
      <c r="F31" s="96">
        <v>0</v>
      </c>
      <c r="G31" s="96">
        <v>0.32879999999999998</v>
      </c>
    </row>
    <row r="32" spans="1:7">
      <c r="A32" s="93" t="s">
        <v>216</v>
      </c>
      <c r="B32" s="94" t="s">
        <v>217</v>
      </c>
      <c r="C32" s="95">
        <v>0</v>
      </c>
      <c r="D32" s="95">
        <v>0</v>
      </c>
      <c r="E32" s="95">
        <v>16900</v>
      </c>
      <c r="F32" s="96">
        <v>0</v>
      </c>
      <c r="G32" s="96">
        <v>0</v>
      </c>
    </row>
    <row r="33" spans="1:7">
      <c r="A33" s="93" t="s">
        <v>218</v>
      </c>
      <c r="B33" s="94" t="s">
        <v>219</v>
      </c>
      <c r="C33" s="95">
        <v>0</v>
      </c>
      <c r="D33" s="95">
        <v>0</v>
      </c>
      <c r="E33" s="95">
        <v>117490</v>
      </c>
      <c r="F33" s="96">
        <v>0</v>
      </c>
      <c r="G33" s="96">
        <v>0</v>
      </c>
    </row>
    <row r="34" spans="1:7">
      <c r="A34" s="93" t="s">
        <v>220</v>
      </c>
      <c r="B34" s="94" t="s">
        <v>221</v>
      </c>
      <c r="C34" s="95">
        <v>1909</v>
      </c>
      <c r="D34" s="95">
        <v>88862940</v>
      </c>
      <c r="E34" s="95">
        <v>65830470</v>
      </c>
      <c r="F34" s="96">
        <v>0.34989999999999999</v>
      </c>
      <c r="G34" s="96">
        <v>0.15859999999999999</v>
      </c>
    </row>
    <row r="35" spans="1:7">
      <c r="A35" s="93" t="s">
        <v>222</v>
      </c>
      <c r="B35" s="94" t="s">
        <v>223</v>
      </c>
      <c r="C35" s="95">
        <v>749</v>
      </c>
      <c r="D35" s="95">
        <v>2078160</v>
      </c>
      <c r="E35" s="95">
        <v>3132280</v>
      </c>
      <c r="F35" s="96">
        <v>-0.33650000000000002</v>
      </c>
      <c r="G35" s="96">
        <v>0.29020000000000001</v>
      </c>
    </row>
    <row r="36" spans="1:7">
      <c r="A36" s="93" t="s">
        <v>224</v>
      </c>
      <c r="B36" s="94" t="s">
        <v>225</v>
      </c>
      <c r="C36" s="95">
        <v>45</v>
      </c>
      <c r="D36" s="95">
        <v>1587570</v>
      </c>
      <c r="E36" s="95">
        <v>2485770</v>
      </c>
      <c r="F36" s="96">
        <v>-0.36130000000000001</v>
      </c>
      <c r="G36" s="96">
        <v>0.18779999999999999</v>
      </c>
    </row>
    <row r="37" spans="1:7">
      <c r="A37" s="93" t="s">
        <v>226</v>
      </c>
      <c r="B37" s="94" t="s">
        <v>227</v>
      </c>
      <c r="C37" s="95">
        <v>0</v>
      </c>
      <c r="D37" s="95">
        <v>0</v>
      </c>
      <c r="E37" s="95">
        <v>73520</v>
      </c>
      <c r="F37" s="96">
        <v>0</v>
      </c>
      <c r="G37" s="96">
        <v>0</v>
      </c>
    </row>
    <row r="38" spans="1:7">
      <c r="A38" s="93" t="s">
        <v>228</v>
      </c>
      <c r="B38" s="94" t="s">
        <v>229</v>
      </c>
      <c r="C38" s="95">
        <v>591</v>
      </c>
      <c r="D38" s="95">
        <v>4467430</v>
      </c>
      <c r="E38" s="95">
        <v>2342240</v>
      </c>
      <c r="F38" s="96">
        <v>0.9073</v>
      </c>
      <c r="G38" s="96">
        <v>0.36919999999999997</v>
      </c>
    </row>
    <row r="39" spans="1:7">
      <c r="A39" s="93" t="s">
        <v>230</v>
      </c>
      <c r="B39" s="94" t="s">
        <v>231</v>
      </c>
      <c r="C39" s="95">
        <v>48</v>
      </c>
      <c r="D39" s="95">
        <v>866770</v>
      </c>
      <c r="E39" s="95">
        <v>109710</v>
      </c>
      <c r="F39" s="96">
        <v>6.9005999999999998</v>
      </c>
      <c r="G39" s="96">
        <v>0.31879999999999997</v>
      </c>
    </row>
    <row r="40" spans="1:7">
      <c r="A40" s="93" t="s">
        <v>232</v>
      </c>
      <c r="B40" s="94" t="s">
        <v>233</v>
      </c>
      <c r="C40" s="95">
        <v>0</v>
      </c>
      <c r="D40" s="95">
        <v>0</v>
      </c>
      <c r="E40" s="95">
        <v>61450</v>
      </c>
      <c r="F40" s="96">
        <v>0</v>
      </c>
      <c r="G40" s="96">
        <v>0</v>
      </c>
    </row>
    <row r="41" spans="1:7">
      <c r="A41" s="93" t="s">
        <v>234</v>
      </c>
      <c r="B41" s="94" t="s">
        <v>235</v>
      </c>
      <c r="C41" s="95">
        <v>0</v>
      </c>
      <c r="D41" s="95">
        <v>0</v>
      </c>
      <c r="E41" s="95">
        <v>51800</v>
      </c>
      <c r="F41" s="96">
        <v>0</v>
      </c>
      <c r="G41" s="96">
        <v>0</v>
      </c>
    </row>
    <row r="42" spans="1:7">
      <c r="A42" s="93" t="s">
        <v>236</v>
      </c>
      <c r="B42" s="94" t="s">
        <v>237</v>
      </c>
      <c r="C42" s="95">
        <v>17</v>
      </c>
      <c r="D42" s="95">
        <v>271000</v>
      </c>
      <c r="E42" s="95">
        <v>230770</v>
      </c>
      <c r="F42" s="96">
        <v>0.17430000000000001</v>
      </c>
      <c r="G42" s="96">
        <v>0.4803</v>
      </c>
    </row>
    <row r="43" spans="1:7">
      <c r="A43" s="93" t="s">
        <v>238</v>
      </c>
      <c r="B43" s="94" t="s">
        <v>239</v>
      </c>
      <c r="C43" s="95">
        <v>3</v>
      </c>
      <c r="D43" s="95">
        <v>23400</v>
      </c>
      <c r="E43" s="95">
        <v>171600</v>
      </c>
      <c r="F43" s="96">
        <v>-0.86360000000000003</v>
      </c>
      <c r="G43" s="96">
        <v>0.2949</v>
      </c>
    </row>
    <row r="44" spans="1:7">
      <c r="A44" s="93" t="s">
        <v>32</v>
      </c>
      <c r="B44" s="94" t="s">
        <v>33</v>
      </c>
      <c r="C44" s="95">
        <v>430</v>
      </c>
      <c r="D44" s="95">
        <v>1519590</v>
      </c>
      <c r="E44" s="95">
        <v>1726250</v>
      </c>
      <c r="F44" s="96">
        <v>-0.1197</v>
      </c>
      <c r="G44" s="96">
        <v>0.39029999999999998</v>
      </c>
    </row>
    <row r="45" spans="1:7">
      <c r="A45" s="93" t="s">
        <v>240</v>
      </c>
      <c r="B45" s="94" t="s">
        <v>241</v>
      </c>
      <c r="C45" s="95">
        <v>1043</v>
      </c>
      <c r="D45" s="95">
        <v>6871870</v>
      </c>
      <c r="E45" s="95">
        <v>189750</v>
      </c>
      <c r="F45" s="96">
        <v>35.215400000000002</v>
      </c>
      <c r="G45" s="96">
        <v>0.39279999999999998</v>
      </c>
    </row>
    <row r="46" spans="1:7">
      <c r="A46" s="93" t="s">
        <v>242</v>
      </c>
      <c r="B46" s="94" t="s">
        <v>243</v>
      </c>
      <c r="C46" s="95">
        <v>32</v>
      </c>
      <c r="D46" s="95">
        <v>648750</v>
      </c>
      <c r="E46" s="95">
        <v>0</v>
      </c>
      <c r="F46" s="96">
        <v>0</v>
      </c>
      <c r="G46" s="96">
        <v>0.25009999999999999</v>
      </c>
    </row>
    <row r="47" spans="1:7">
      <c r="A47" s="93" t="s">
        <v>244</v>
      </c>
      <c r="B47" s="94" t="s">
        <v>245</v>
      </c>
      <c r="C47" s="95">
        <v>0</v>
      </c>
      <c r="D47" s="95">
        <v>0</v>
      </c>
      <c r="E47" s="95">
        <v>432250</v>
      </c>
      <c r="F47" s="96">
        <v>0</v>
      </c>
      <c r="G47" s="96">
        <v>0</v>
      </c>
    </row>
    <row r="48" spans="1:7">
      <c r="A48" s="93" t="s">
        <v>246</v>
      </c>
      <c r="B48" s="94" t="s">
        <v>247</v>
      </c>
      <c r="C48" s="95">
        <v>1675</v>
      </c>
      <c r="D48" s="95">
        <v>5461790</v>
      </c>
      <c r="E48" s="95">
        <v>0</v>
      </c>
      <c r="F48" s="96">
        <v>0</v>
      </c>
      <c r="G48" s="96">
        <v>0.2203</v>
      </c>
    </row>
    <row r="49" spans="1:7">
      <c r="A49" s="93" t="s">
        <v>248</v>
      </c>
      <c r="B49" s="94" t="s">
        <v>249</v>
      </c>
      <c r="C49" s="95">
        <v>0</v>
      </c>
      <c r="D49" s="95">
        <v>0</v>
      </c>
      <c r="E49" s="95">
        <v>303220</v>
      </c>
      <c r="F49" s="96">
        <v>0</v>
      </c>
      <c r="G49" s="96">
        <v>0</v>
      </c>
    </row>
    <row r="50" spans="1:7">
      <c r="A50" s="93" t="s">
        <v>123</v>
      </c>
      <c r="B50" s="94" t="s">
        <v>124</v>
      </c>
      <c r="C50" s="95">
        <v>339</v>
      </c>
      <c r="D50" s="95">
        <v>4330350</v>
      </c>
      <c r="E50" s="95">
        <v>1341560</v>
      </c>
      <c r="F50" s="96">
        <v>2.2277999999999998</v>
      </c>
      <c r="G50" s="96">
        <v>0.28050000000000003</v>
      </c>
    </row>
    <row r="51" spans="1:7">
      <c r="A51" s="93" t="s">
        <v>250</v>
      </c>
      <c r="B51" s="94" t="s">
        <v>251</v>
      </c>
      <c r="C51" s="95">
        <v>121</v>
      </c>
      <c r="D51" s="95">
        <v>1330120</v>
      </c>
      <c r="E51" s="95">
        <v>0</v>
      </c>
      <c r="F51" s="96">
        <v>0</v>
      </c>
      <c r="G51" s="96">
        <v>0.33379999999999999</v>
      </c>
    </row>
    <row r="52" spans="1:7">
      <c r="A52" s="93" t="s">
        <v>34</v>
      </c>
      <c r="B52" s="94" t="s">
        <v>35</v>
      </c>
      <c r="C52" s="95">
        <v>378</v>
      </c>
      <c r="D52" s="95">
        <v>2874840</v>
      </c>
      <c r="E52" s="95">
        <v>3279670</v>
      </c>
      <c r="F52" s="96">
        <v>-0.1234</v>
      </c>
      <c r="G52" s="96">
        <v>0.28070000000000001</v>
      </c>
    </row>
    <row r="53" spans="1:7">
      <c r="A53" s="93" t="s">
        <v>252</v>
      </c>
      <c r="B53" s="94" t="s">
        <v>253</v>
      </c>
      <c r="C53" s="95">
        <v>17</v>
      </c>
      <c r="D53" s="95">
        <v>445060</v>
      </c>
      <c r="E53" s="95">
        <v>780760</v>
      </c>
      <c r="F53" s="96">
        <v>-0.43</v>
      </c>
      <c r="G53" s="96">
        <v>0.30130000000000001</v>
      </c>
    </row>
    <row r="54" spans="1:7">
      <c r="A54" s="93" t="s">
        <v>254</v>
      </c>
      <c r="B54" s="94" t="s">
        <v>255</v>
      </c>
      <c r="C54" s="95">
        <v>9</v>
      </c>
      <c r="D54" s="95">
        <v>48790</v>
      </c>
      <c r="E54" s="95">
        <v>104150</v>
      </c>
      <c r="F54" s="96">
        <v>-0.53149999999999997</v>
      </c>
      <c r="G54" s="96">
        <v>0.33650000000000002</v>
      </c>
    </row>
    <row r="55" spans="1:7">
      <c r="A55" s="93" t="s">
        <v>256</v>
      </c>
      <c r="B55" s="94" t="s">
        <v>257</v>
      </c>
      <c r="C55" s="95">
        <v>3</v>
      </c>
      <c r="D55" s="95">
        <v>319400</v>
      </c>
      <c r="E55" s="95">
        <v>994560</v>
      </c>
      <c r="F55" s="96">
        <v>-0.67889999999999995</v>
      </c>
      <c r="G55" s="96">
        <v>0.3</v>
      </c>
    </row>
    <row r="56" spans="1:7">
      <c r="A56" s="93" t="s">
        <v>258</v>
      </c>
      <c r="B56" s="94" t="s">
        <v>259</v>
      </c>
      <c r="C56" s="95">
        <v>3</v>
      </c>
      <c r="D56" s="95">
        <v>105000</v>
      </c>
      <c r="E56" s="95">
        <v>0</v>
      </c>
      <c r="F56" s="96">
        <v>0</v>
      </c>
      <c r="G56" s="96">
        <v>0.33</v>
      </c>
    </row>
    <row r="57" spans="1:7">
      <c r="A57" s="93" t="s">
        <v>260</v>
      </c>
      <c r="B57" s="94" t="s">
        <v>261</v>
      </c>
      <c r="C57" s="95">
        <v>147</v>
      </c>
      <c r="D57" s="95">
        <v>694620</v>
      </c>
      <c r="E57" s="95">
        <v>1315880</v>
      </c>
      <c r="F57" s="96">
        <v>-0.47210000000000002</v>
      </c>
      <c r="G57" s="96">
        <v>0.27239999999999998</v>
      </c>
    </row>
    <row r="58" spans="1:7">
      <c r="A58" s="93" t="s">
        <v>262</v>
      </c>
      <c r="B58" s="94" t="s">
        <v>263</v>
      </c>
      <c r="C58" s="95">
        <v>14</v>
      </c>
      <c r="D58" s="95">
        <v>242230</v>
      </c>
      <c r="E58" s="95">
        <v>158470</v>
      </c>
      <c r="F58" s="96">
        <v>0.52859999999999996</v>
      </c>
      <c r="G58" s="96">
        <v>0.52</v>
      </c>
    </row>
    <row r="59" spans="1:7">
      <c r="A59" s="93" t="s">
        <v>36</v>
      </c>
      <c r="B59" s="94" t="s">
        <v>37</v>
      </c>
      <c r="C59" s="95">
        <v>850</v>
      </c>
      <c r="D59" s="95">
        <v>3353020</v>
      </c>
      <c r="E59" s="95">
        <v>2505910</v>
      </c>
      <c r="F59" s="96">
        <v>0.33800000000000002</v>
      </c>
      <c r="G59" s="96">
        <v>0.38269999999999998</v>
      </c>
    </row>
    <row r="60" spans="1:7">
      <c r="A60" s="93" t="s">
        <v>264</v>
      </c>
      <c r="B60" s="94" t="s">
        <v>265</v>
      </c>
      <c r="C60" s="95">
        <v>8</v>
      </c>
      <c r="D60" s="95">
        <v>152320</v>
      </c>
      <c r="E60" s="95">
        <v>1975660</v>
      </c>
      <c r="F60" s="96">
        <v>-0.92290000000000005</v>
      </c>
      <c r="G60" s="96">
        <v>0.31469999999999998</v>
      </c>
    </row>
    <row r="61" spans="1:7">
      <c r="A61" s="93" t="s">
        <v>125</v>
      </c>
      <c r="B61" s="94" t="s">
        <v>126</v>
      </c>
      <c r="C61" s="95">
        <v>832</v>
      </c>
      <c r="D61" s="95">
        <v>8242970</v>
      </c>
      <c r="E61" s="95">
        <v>0</v>
      </c>
      <c r="F61" s="96">
        <v>0</v>
      </c>
      <c r="G61" s="96">
        <v>0.25159999999999999</v>
      </c>
    </row>
    <row r="62" spans="1:7">
      <c r="A62" s="93" t="s">
        <v>266</v>
      </c>
      <c r="B62" s="94" t="s">
        <v>267</v>
      </c>
      <c r="C62" s="95">
        <v>0</v>
      </c>
      <c r="D62" s="95">
        <v>0</v>
      </c>
      <c r="E62" s="95">
        <v>107820</v>
      </c>
      <c r="F62" s="96">
        <v>0</v>
      </c>
      <c r="G62" s="96">
        <v>0</v>
      </c>
    </row>
    <row r="63" spans="1:7">
      <c r="A63" s="93" t="s">
        <v>38</v>
      </c>
      <c r="B63" s="94" t="s">
        <v>39</v>
      </c>
      <c r="C63" s="95">
        <v>210</v>
      </c>
      <c r="D63" s="95">
        <v>3231320</v>
      </c>
      <c r="E63" s="95">
        <v>3098420</v>
      </c>
      <c r="F63" s="96">
        <v>4.2900000000000001E-2</v>
      </c>
      <c r="G63" s="96">
        <v>0.28499999999999998</v>
      </c>
    </row>
    <row r="64" spans="1:7">
      <c r="A64" s="93" t="s">
        <v>268</v>
      </c>
      <c r="B64" s="94" t="s">
        <v>269</v>
      </c>
      <c r="C64" s="95">
        <v>12</v>
      </c>
      <c r="D64" s="95">
        <v>125640</v>
      </c>
      <c r="E64" s="95">
        <v>0</v>
      </c>
      <c r="F64" s="96">
        <v>0</v>
      </c>
      <c r="G64" s="96">
        <v>0.33879999999999999</v>
      </c>
    </row>
    <row r="65" spans="1:7">
      <c r="A65" s="93" t="s">
        <v>270</v>
      </c>
      <c r="B65" s="94" t="s">
        <v>271</v>
      </c>
      <c r="C65" s="95">
        <v>1</v>
      </c>
      <c r="D65" s="95">
        <v>5400</v>
      </c>
      <c r="E65" s="95">
        <v>-12500</v>
      </c>
      <c r="F65" s="96">
        <v>-1.4319999999999999</v>
      </c>
      <c r="G65" s="96">
        <v>0.44440000000000002</v>
      </c>
    </row>
    <row r="66" spans="1:7">
      <c r="A66" s="93" t="s">
        <v>72</v>
      </c>
      <c r="B66" s="94" t="s">
        <v>271</v>
      </c>
      <c r="C66" s="95">
        <v>1185</v>
      </c>
      <c r="D66" s="95">
        <v>5172680</v>
      </c>
      <c r="E66" s="95">
        <v>5057340</v>
      </c>
      <c r="F66" s="96">
        <v>2.2800000000000001E-2</v>
      </c>
      <c r="G66" s="96">
        <v>0.3412</v>
      </c>
    </row>
    <row r="67" spans="1:7">
      <c r="A67" s="93" t="s">
        <v>272</v>
      </c>
      <c r="B67" s="94" t="s">
        <v>273</v>
      </c>
      <c r="C67" s="95">
        <v>37</v>
      </c>
      <c r="D67" s="95">
        <v>206460</v>
      </c>
      <c r="E67" s="95">
        <v>417710</v>
      </c>
      <c r="F67" s="96">
        <v>-0.50570000000000004</v>
      </c>
      <c r="G67" s="96">
        <v>0.47139999999999999</v>
      </c>
    </row>
    <row r="68" spans="1:7">
      <c r="A68" s="93" t="s">
        <v>40</v>
      </c>
      <c r="B68" s="94" t="s">
        <v>41</v>
      </c>
      <c r="C68" s="95">
        <v>588</v>
      </c>
      <c r="D68" s="95">
        <v>1860110</v>
      </c>
      <c r="E68" s="95">
        <v>2244480</v>
      </c>
      <c r="F68" s="96">
        <v>-0.17130000000000001</v>
      </c>
      <c r="G68" s="96">
        <v>0.39219999999999999</v>
      </c>
    </row>
    <row r="69" spans="1:7">
      <c r="A69" s="93" t="s">
        <v>274</v>
      </c>
      <c r="B69" s="94" t="s">
        <v>275</v>
      </c>
      <c r="C69" s="95">
        <v>0</v>
      </c>
      <c r="D69" s="95">
        <v>0</v>
      </c>
      <c r="E69" s="95">
        <v>88470</v>
      </c>
      <c r="F69" s="96">
        <v>0</v>
      </c>
      <c r="G69" s="96">
        <v>0</v>
      </c>
    </row>
    <row r="70" spans="1:7">
      <c r="A70" s="93" t="s">
        <v>276</v>
      </c>
      <c r="B70" s="94" t="s">
        <v>277</v>
      </c>
      <c r="C70" s="95">
        <v>3758</v>
      </c>
      <c r="D70" s="95">
        <v>17616460</v>
      </c>
      <c r="E70" s="95">
        <v>0</v>
      </c>
      <c r="F70" s="96">
        <v>0</v>
      </c>
      <c r="G70" s="96">
        <v>0.28189999999999998</v>
      </c>
    </row>
    <row r="71" spans="1:7">
      <c r="A71" s="93" t="s">
        <v>278</v>
      </c>
      <c r="B71" s="94" t="s">
        <v>279</v>
      </c>
      <c r="C71" s="95">
        <v>0</v>
      </c>
      <c r="D71" s="95">
        <v>0</v>
      </c>
      <c r="E71" s="95">
        <v>680600</v>
      </c>
      <c r="F71" s="96">
        <v>0</v>
      </c>
      <c r="G71" s="96">
        <v>0</v>
      </c>
    </row>
    <row r="72" spans="1:7">
      <c r="A72" s="93" t="s">
        <v>280</v>
      </c>
      <c r="B72" s="94" t="s">
        <v>281</v>
      </c>
      <c r="C72" s="95">
        <v>23</v>
      </c>
      <c r="D72" s="95">
        <v>61570</v>
      </c>
      <c r="E72" s="95">
        <v>0</v>
      </c>
      <c r="F72" s="96">
        <v>0</v>
      </c>
      <c r="G72" s="96">
        <v>0.36009999999999998</v>
      </c>
    </row>
    <row r="73" spans="1:7">
      <c r="A73" s="93" t="s">
        <v>282</v>
      </c>
      <c r="B73" s="94" t="s">
        <v>283</v>
      </c>
      <c r="C73" s="95">
        <v>152</v>
      </c>
      <c r="D73" s="95">
        <v>518460</v>
      </c>
      <c r="E73" s="95">
        <v>34700</v>
      </c>
      <c r="F73" s="96">
        <v>13.9412</v>
      </c>
      <c r="G73" s="96">
        <v>0.38319999999999999</v>
      </c>
    </row>
    <row r="74" spans="1:7">
      <c r="A74" s="93" t="s">
        <v>284</v>
      </c>
      <c r="B74" s="94" t="s">
        <v>285</v>
      </c>
      <c r="C74" s="95">
        <v>13</v>
      </c>
      <c r="D74" s="95">
        <v>54590</v>
      </c>
      <c r="E74" s="95">
        <v>203410</v>
      </c>
      <c r="F74" s="96">
        <v>-0.73160000000000003</v>
      </c>
      <c r="G74" s="96">
        <v>0.47789999999999999</v>
      </c>
    </row>
    <row r="75" spans="1:7">
      <c r="A75" s="93" t="s">
        <v>286</v>
      </c>
      <c r="B75" s="94" t="s">
        <v>287</v>
      </c>
      <c r="C75" s="95">
        <v>0</v>
      </c>
      <c r="D75" s="95">
        <v>0</v>
      </c>
      <c r="E75" s="95">
        <v>1157150</v>
      </c>
      <c r="F75" s="96">
        <v>0</v>
      </c>
      <c r="G75" s="96">
        <v>0</v>
      </c>
    </row>
    <row r="76" spans="1:7">
      <c r="A76" s="93" t="s">
        <v>42</v>
      </c>
      <c r="B76" s="94" t="s">
        <v>43</v>
      </c>
      <c r="C76" s="95">
        <v>780</v>
      </c>
      <c r="D76" s="95">
        <v>3288170</v>
      </c>
      <c r="E76" s="95">
        <v>4007290</v>
      </c>
      <c r="F76" s="96">
        <v>-0.17949999999999999</v>
      </c>
      <c r="G76" s="96">
        <v>0.38769999999999999</v>
      </c>
    </row>
    <row r="77" spans="1:7">
      <c r="A77" s="93" t="s">
        <v>288</v>
      </c>
      <c r="B77" s="94" t="s">
        <v>289</v>
      </c>
      <c r="C77" s="95">
        <v>91</v>
      </c>
      <c r="D77" s="95">
        <v>433250</v>
      </c>
      <c r="E77" s="95">
        <v>0</v>
      </c>
      <c r="F77" s="96">
        <v>0</v>
      </c>
      <c r="G77" s="96">
        <v>0.21870000000000001</v>
      </c>
    </row>
    <row r="78" spans="1:7">
      <c r="A78" s="93" t="s">
        <v>290</v>
      </c>
      <c r="B78" s="94" t="s">
        <v>291</v>
      </c>
      <c r="C78" s="95">
        <v>36</v>
      </c>
      <c r="D78" s="95">
        <v>1389570</v>
      </c>
      <c r="E78" s="95">
        <v>1993760</v>
      </c>
      <c r="F78" s="96">
        <v>-0.30299999999999999</v>
      </c>
      <c r="G78" s="96">
        <v>0.33239999999999997</v>
      </c>
    </row>
    <row r="79" spans="1:7">
      <c r="A79" s="93" t="s">
        <v>292</v>
      </c>
      <c r="B79" s="94" t="s">
        <v>293</v>
      </c>
      <c r="C79" s="95">
        <v>1788</v>
      </c>
      <c r="D79" s="95">
        <v>1061550</v>
      </c>
      <c r="E79" s="95">
        <v>1128970</v>
      </c>
      <c r="F79" s="96">
        <v>-5.9700000000000003E-2</v>
      </c>
      <c r="G79" s="96">
        <v>0.44669999999999999</v>
      </c>
    </row>
    <row r="80" spans="1:7">
      <c r="A80" s="93" t="s">
        <v>294</v>
      </c>
      <c r="B80" s="94" t="s">
        <v>295</v>
      </c>
      <c r="C80" s="95">
        <v>18968</v>
      </c>
      <c r="D80" s="95">
        <v>68582210</v>
      </c>
      <c r="E80" s="95">
        <v>49648640</v>
      </c>
      <c r="F80" s="96">
        <v>0.38140000000000002</v>
      </c>
      <c r="G80" s="96">
        <v>0.41099999999999998</v>
      </c>
    </row>
    <row r="81" spans="1:7">
      <c r="A81" s="93" t="s">
        <v>296</v>
      </c>
      <c r="B81" s="94" t="s">
        <v>297</v>
      </c>
      <c r="C81" s="95">
        <v>12</v>
      </c>
      <c r="D81" s="95">
        <v>112040</v>
      </c>
      <c r="E81" s="95">
        <v>136790</v>
      </c>
      <c r="F81" s="96">
        <v>-0.18090000000000001</v>
      </c>
      <c r="G81" s="96">
        <v>0.42980000000000002</v>
      </c>
    </row>
    <row r="82" spans="1:7">
      <c r="A82" s="93" t="s">
        <v>298</v>
      </c>
      <c r="B82" s="94" t="s">
        <v>299</v>
      </c>
      <c r="C82" s="95">
        <v>5155</v>
      </c>
      <c r="D82" s="95">
        <v>3841400</v>
      </c>
      <c r="E82" s="95">
        <v>3901050</v>
      </c>
      <c r="F82" s="96">
        <v>-1.5299999999999999E-2</v>
      </c>
      <c r="G82" s="96">
        <v>0.45669999999999999</v>
      </c>
    </row>
    <row r="83" spans="1:7">
      <c r="A83" s="93" t="s">
        <v>300</v>
      </c>
      <c r="B83" s="94" t="s">
        <v>301</v>
      </c>
      <c r="C83" s="95">
        <v>0</v>
      </c>
      <c r="D83" s="95">
        <v>0</v>
      </c>
      <c r="E83" s="95">
        <v>168480</v>
      </c>
      <c r="F83" s="96">
        <v>0</v>
      </c>
      <c r="G83" s="96">
        <v>0</v>
      </c>
    </row>
    <row r="84" spans="1:7">
      <c r="A84" s="93" t="s">
        <v>302</v>
      </c>
      <c r="B84" s="94" t="s">
        <v>303</v>
      </c>
      <c r="C84" s="95">
        <v>9</v>
      </c>
      <c r="D84" s="95">
        <v>67500</v>
      </c>
      <c r="E84" s="95">
        <v>0</v>
      </c>
      <c r="F84" s="96">
        <v>0</v>
      </c>
      <c r="G84" s="96">
        <v>0.12</v>
      </c>
    </row>
    <row r="85" spans="1:7">
      <c r="A85" s="93" t="s">
        <v>304</v>
      </c>
      <c r="B85" s="94" t="s">
        <v>305</v>
      </c>
      <c r="C85" s="95">
        <v>1</v>
      </c>
      <c r="D85" s="95">
        <v>33960</v>
      </c>
      <c r="E85" s="95">
        <v>441310</v>
      </c>
      <c r="F85" s="96">
        <v>-0.92300000000000004</v>
      </c>
      <c r="G85" s="96">
        <v>0.2079</v>
      </c>
    </row>
    <row r="86" spans="1:7">
      <c r="A86" s="93" t="s">
        <v>306</v>
      </c>
      <c r="B86" s="94" t="s">
        <v>307</v>
      </c>
      <c r="C86" s="95">
        <v>94</v>
      </c>
      <c r="D86" s="95">
        <v>376860</v>
      </c>
      <c r="E86" s="95">
        <v>416430</v>
      </c>
      <c r="F86" s="96">
        <v>-9.5000000000000001E-2</v>
      </c>
      <c r="G86" s="96">
        <v>0.32369999999999999</v>
      </c>
    </row>
    <row r="87" spans="1:7">
      <c r="A87" s="93" t="s">
        <v>308</v>
      </c>
      <c r="B87" s="94" t="s">
        <v>309</v>
      </c>
      <c r="C87" s="95">
        <v>10</v>
      </c>
      <c r="D87" s="95">
        <v>58250</v>
      </c>
      <c r="E87" s="95">
        <v>0</v>
      </c>
      <c r="F87" s="96">
        <v>0</v>
      </c>
      <c r="G87" s="96">
        <v>0.3851</v>
      </c>
    </row>
    <row r="88" spans="1:7">
      <c r="A88" s="93" t="s">
        <v>310</v>
      </c>
      <c r="B88" s="94" t="s">
        <v>311</v>
      </c>
      <c r="C88" s="95">
        <v>0</v>
      </c>
      <c r="D88" s="95">
        <v>0</v>
      </c>
      <c r="E88" s="95">
        <v>69430</v>
      </c>
      <c r="F88" s="96">
        <v>0</v>
      </c>
      <c r="G88" s="96">
        <v>0</v>
      </c>
    </row>
    <row r="89" spans="1:7">
      <c r="A89" s="93" t="s">
        <v>312</v>
      </c>
      <c r="B89" s="94" t="s">
        <v>313</v>
      </c>
      <c r="C89" s="95">
        <v>0</v>
      </c>
      <c r="D89" s="95">
        <v>0</v>
      </c>
      <c r="E89" s="95">
        <v>805120</v>
      </c>
      <c r="F89" s="96">
        <v>0</v>
      </c>
      <c r="G89" s="96">
        <v>0</v>
      </c>
    </row>
    <row r="90" spans="1:7">
      <c r="A90" s="93" t="s">
        <v>314</v>
      </c>
      <c r="B90" s="94" t="s">
        <v>315</v>
      </c>
      <c r="C90" s="95">
        <v>0</v>
      </c>
      <c r="D90" s="95">
        <v>0</v>
      </c>
      <c r="E90" s="95">
        <v>13729220</v>
      </c>
      <c r="F90" s="96">
        <v>0</v>
      </c>
      <c r="G90" s="96">
        <v>0</v>
      </c>
    </row>
    <row r="91" spans="1:7">
      <c r="A91" s="93" t="s">
        <v>316</v>
      </c>
      <c r="B91" s="94" t="s">
        <v>317</v>
      </c>
      <c r="C91" s="95">
        <v>0</v>
      </c>
      <c r="D91" s="95">
        <v>0</v>
      </c>
      <c r="E91" s="95">
        <v>199500</v>
      </c>
      <c r="F91" s="96">
        <v>0</v>
      </c>
      <c r="G91" s="96">
        <v>0</v>
      </c>
    </row>
    <row r="92" spans="1:7">
      <c r="A92" s="93" t="s">
        <v>318</v>
      </c>
      <c r="B92" s="94" t="s">
        <v>319</v>
      </c>
      <c r="C92" s="95">
        <v>0</v>
      </c>
      <c r="D92" s="95">
        <v>0</v>
      </c>
      <c r="E92" s="95">
        <v>9832620</v>
      </c>
      <c r="F92" s="96">
        <v>0</v>
      </c>
      <c r="G92" s="96">
        <v>0</v>
      </c>
    </row>
    <row r="93" spans="1:7">
      <c r="A93" s="93" t="s">
        <v>320</v>
      </c>
      <c r="B93" s="94" t="s">
        <v>321</v>
      </c>
      <c r="C93" s="95">
        <v>196</v>
      </c>
      <c r="D93" s="95">
        <v>991780</v>
      </c>
      <c r="E93" s="95">
        <v>0</v>
      </c>
      <c r="F93" s="96">
        <v>0</v>
      </c>
      <c r="G93" s="96">
        <v>0.314</v>
      </c>
    </row>
    <row r="94" spans="1:7">
      <c r="A94" s="93" t="s">
        <v>322</v>
      </c>
      <c r="B94" s="94" t="s">
        <v>323</v>
      </c>
      <c r="C94" s="95">
        <v>116</v>
      </c>
      <c r="D94" s="95">
        <v>1818470</v>
      </c>
      <c r="E94" s="95">
        <v>2111280</v>
      </c>
      <c r="F94" s="96">
        <v>-0.13869999999999999</v>
      </c>
      <c r="G94" s="96">
        <v>0.27760000000000001</v>
      </c>
    </row>
    <row r="95" spans="1:7">
      <c r="A95" s="93" t="s">
        <v>324</v>
      </c>
      <c r="B95" s="94" t="s">
        <v>325</v>
      </c>
      <c r="C95" s="95">
        <v>1781</v>
      </c>
      <c r="D95" s="95">
        <v>28172950</v>
      </c>
      <c r="E95" s="95">
        <v>0</v>
      </c>
      <c r="F95" s="96">
        <v>0</v>
      </c>
      <c r="G95" s="96">
        <v>0.36809999999999998</v>
      </c>
    </row>
    <row r="96" spans="1:7">
      <c r="A96" s="93" t="s">
        <v>326</v>
      </c>
      <c r="B96" s="94" t="s">
        <v>327</v>
      </c>
      <c r="C96" s="95">
        <v>26</v>
      </c>
      <c r="D96" s="95">
        <v>585400</v>
      </c>
      <c r="E96" s="95">
        <v>0</v>
      </c>
      <c r="F96" s="96">
        <v>0</v>
      </c>
      <c r="G96" s="96">
        <v>0.34489999999999998</v>
      </c>
    </row>
    <row r="97" spans="1:7">
      <c r="A97" s="93" t="s">
        <v>328</v>
      </c>
      <c r="B97" s="94" t="s">
        <v>329</v>
      </c>
      <c r="C97" s="95">
        <v>291</v>
      </c>
      <c r="D97" s="95">
        <v>4006590</v>
      </c>
      <c r="E97" s="95">
        <v>0</v>
      </c>
      <c r="F97" s="96">
        <v>0</v>
      </c>
      <c r="G97" s="96">
        <v>0.2334</v>
      </c>
    </row>
    <row r="98" spans="1:7">
      <c r="A98" s="93" t="s">
        <v>330</v>
      </c>
      <c r="B98" s="94" t="s">
        <v>331</v>
      </c>
      <c r="C98" s="95">
        <v>35</v>
      </c>
      <c r="D98" s="95">
        <v>630700</v>
      </c>
      <c r="E98" s="95">
        <v>752420</v>
      </c>
      <c r="F98" s="96">
        <v>-0.1618</v>
      </c>
      <c r="G98" s="96">
        <v>0.22559999999999999</v>
      </c>
    </row>
    <row r="99" spans="1:7">
      <c r="A99" s="93" t="s">
        <v>44</v>
      </c>
      <c r="B99" s="94" t="s">
        <v>45</v>
      </c>
      <c r="C99" s="95">
        <v>356</v>
      </c>
      <c r="D99" s="95">
        <v>2122860</v>
      </c>
      <c r="E99" s="95">
        <v>10609930</v>
      </c>
      <c r="F99" s="96">
        <v>-0.79990000000000006</v>
      </c>
      <c r="G99" s="96">
        <v>0.30309999999999998</v>
      </c>
    </row>
    <row r="100" spans="1:7">
      <c r="A100" s="93" t="s">
        <v>332</v>
      </c>
      <c r="B100" s="94" t="s">
        <v>333</v>
      </c>
      <c r="C100" s="95">
        <v>14</v>
      </c>
      <c r="D100" s="95">
        <v>131320</v>
      </c>
      <c r="E100" s="95">
        <v>1298370</v>
      </c>
      <c r="F100" s="96">
        <v>-0.89890000000000003</v>
      </c>
      <c r="G100" s="96">
        <v>0.21640000000000001</v>
      </c>
    </row>
    <row r="101" spans="1:7">
      <c r="A101" s="93" t="s">
        <v>334</v>
      </c>
      <c r="B101" s="94" t="s">
        <v>335</v>
      </c>
      <c r="C101" s="95">
        <v>7</v>
      </c>
      <c r="D101" s="95">
        <v>92000</v>
      </c>
      <c r="E101" s="95">
        <v>0</v>
      </c>
      <c r="F101" s="96">
        <v>0</v>
      </c>
      <c r="G101" s="96">
        <v>0.33589999999999998</v>
      </c>
    </row>
    <row r="102" spans="1:7">
      <c r="A102" s="93" t="s">
        <v>336</v>
      </c>
      <c r="B102" s="94" t="s">
        <v>337</v>
      </c>
      <c r="C102" s="95">
        <v>785</v>
      </c>
      <c r="D102" s="95">
        <v>686380</v>
      </c>
      <c r="E102" s="95">
        <v>819680</v>
      </c>
      <c r="F102" s="96">
        <v>-0.16259999999999999</v>
      </c>
      <c r="G102" s="96">
        <v>0.4894</v>
      </c>
    </row>
    <row r="103" spans="1:7">
      <c r="A103" s="93" t="s">
        <v>338</v>
      </c>
      <c r="B103" s="94" t="s">
        <v>339</v>
      </c>
      <c r="C103" s="95">
        <v>344</v>
      </c>
      <c r="D103" s="95">
        <v>668430</v>
      </c>
      <c r="E103" s="95">
        <v>0</v>
      </c>
      <c r="F103" s="96">
        <v>0</v>
      </c>
      <c r="G103" s="96">
        <v>0.55840000000000001</v>
      </c>
    </row>
    <row r="104" spans="1:7">
      <c r="A104" s="93" t="s">
        <v>46</v>
      </c>
      <c r="B104" s="94" t="s">
        <v>47</v>
      </c>
      <c r="C104" s="95">
        <v>57</v>
      </c>
      <c r="D104" s="95">
        <v>642520</v>
      </c>
      <c r="E104" s="95">
        <v>0</v>
      </c>
      <c r="F104" s="96">
        <v>0</v>
      </c>
      <c r="G104" s="96">
        <v>0.3886</v>
      </c>
    </row>
    <row r="105" spans="1:7">
      <c r="A105" s="93" t="s">
        <v>340</v>
      </c>
      <c r="B105" s="94" t="s">
        <v>341</v>
      </c>
      <c r="C105" s="95">
        <v>33</v>
      </c>
      <c r="D105" s="95">
        <v>331010</v>
      </c>
      <c r="E105" s="95">
        <v>260660</v>
      </c>
      <c r="F105" s="96">
        <v>0.26989999999999997</v>
      </c>
      <c r="G105" s="96">
        <v>0.2147</v>
      </c>
    </row>
    <row r="106" spans="1:7">
      <c r="A106" s="93" t="s">
        <v>342</v>
      </c>
      <c r="B106" s="94" t="s">
        <v>343</v>
      </c>
      <c r="C106" s="95">
        <v>1729</v>
      </c>
      <c r="D106" s="95">
        <v>3711410</v>
      </c>
      <c r="E106" s="95">
        <v>3318540</v>
      </c>
      <c r="F106" s="96">
        <v>0.11840000000000001</v>
      </c>
      <c r="G106" s="96">
        <v>0.43099999999999999</v>
      </c>
    </row>
    <row r="107" spans="1:7">
      <c r="A107" s="93" t="s">
        <v>344</v>
      </c>
      <c r="B107" s="94" t="s">
        <v>345</v>
      </c>
      <c r="C107" s="95">
        <v>125</v>
      </c>
      <c r="D107" s="95">
        <v>963250</v>
      </c>
      <c r="E107" s="95">
        <v>440800</v>
      </c>
      <c r="F107" s="96">
        <v>1.1852</v>
      </c>
      <c r="G107" s="96">
        <v>0.32669999999999999</v>
      </c>
    </row>
    <row r="108" spans="1:7">
      <c r="A108" s="93" t="s">
        <v>346</v>
      </c>
      <c r="B108" s="94" t="s">
        <v>347</v>
      </c>
      <c r="C108" s="95">
        <v>0</v>
      </c>
      <c r="D108" s="95">
        <v>0</v>
      </c>
      <c r="E108" s="95">
        <v>15600</v>
      </c>
      <c r="F108" s="96">
        <v>0</v>
      </c>
      <c r="G108" s="96">
        <v>0</v>
      </c>
    </row>
    <row r="109" spans="1:7">
      <c r="A109" s="93" t="s">
        <v>348</v>
      </c>
      <c r="B109" s="94" t="s">
        <v>349</v>
      </c>
      <c r="C109" s="95">
        <v>3</v>
      </c>
      <c r="D109" s="95">
        <v>20400</v>
      </c>
      <c r="E109" s="95">
        <v>0</v>
      </c>
      <c r="F109" s="96">
        <v>0</v>
      </c>
      <c r="G109" s="96">
        <v>0.25</v>
      </c>
    </row>
    <row r="110" spans="1:7">
      <c r="A110" s="93" t="s">
        <v>48</v>
      </c>
      <c r="B110" s="94" t="s">
        <v>49</v>
      </c>
      <c r="C110" s="95">
        <v>692</v>
      </c>
      <c r="D110" s="95">
        <v>1786780</v>
      </c>
      <c r="E110" s="95">
        <v>1320210</v>
      </c>
      <c r="F110" s="96">
        <v>0.35339999999999999</v>
      </c>
      <c r="G110" s="96">
        <v>0.37159999999999999</v>
      </c>
    </row>
    <row r="111" spans="1:7">
      <c r="A111" s="93" t="s">
        <v>350</v>
      </c>
      <c r="B111" s="94" t="s">
        <v>351</v>
      </c>
      <c r="C111" s="95">
        <v>103</v>
      </c>
      <c r="D111" s="95">
        <v>2572820</v>
      </c>
      <c r="E111" s="95">
        <v>3432600</v>
      </c>
      <c r="F111" s="96">
        <v>-0.2505</v>
      </c>
      <c r="G111" s="96">
        <v>0.3377</v>
      </c>
    </row>
    <row r="112" spans="1:7">
      <c r="A112" s="93" t="s">
        <v>352</v>
      </c>
      <c r="B112" s="94" t="s">
        <v>353</v>
      </c>
      <c r="C112" s="95">
        <v>0</v>
      </c>
      <c r="D112" s="95">
        <v>0</v>
      </c>
      <c r="E112" s="95">
        <v>31600</v>
      </c>
      <c r="F112" s="96">
        <v>0</v>
      </c>
      <c r="G112" s="96">
        <v>0</v>
      </c>
    </row>
    <row r="113" spans="1:7">
      <c r="A113" s="93" t="s">
        <v>50</v>
      </c>
      <c r="B113" s="94" t="s">
        <v>51</v>
      </c>
      <c r="C113" s="95">
        <v>552</v>
      </c>
      <c r="D113" s="95">
        <v>1354810</v>
      </c>
      <c r="E113" s="95">
        <v>1546760</v>
      </c>
      <c r="F113" s="96">
        <v>-0.1241</v>
      </c>
      <c r="G113" s="96">
        <v>0.37830000000000003</v>
      </c>
    </row>
    <row r="114" spans="1:7">
      <c r="A114" s="93" t="s">
        <v>354</v>
      </c>
      <c r="B114" s="94" t="s">
        <v>355</v>
      </c>
      <c r="C114" s="95">
        <v>1850</v>
      </c>
      <c r="D114" s="95">
        <v>50914840</v>
      </c>
      <c r="E114" s="95">
        <v>37023480</v>
      </c>
      <c r="F114" s="96">
        <v>0.37519999999999998</v>
      </c>
      <c r="G114" s="96">
        <v>0.38929999999999998</v>
      </c>
    </row>
    <row r="115" spans="1:7">
      <c r="A115" s="93" t="s">
        <v>356</v>
      </c>
      <c r="B115" s="94" t="s">
        <v>357</v>
      </c>
      <c r="C115" s="95">
        <v>4</v>
      </c>
      <c r="D115" s="95">
        <v>237010</v>
      </c>
      <c r="E115" s="95">
        <v>0</v>
      </c>
      <c r="F115" s="96">
        <v>0</v>
      </c>
      <c r="G115" s="96">
        <v>0.29770000000000002</v>
      </c>
    </row>
    <row r="116" spans="1:7">
      <c r="A116" s="93" t="s">
        <v>358</v>
      </c>
      <c r="B116" s="94" t="s">
        <v>359</v>
      </c>
      <c r="C116" s="95">
        <v>707</v>
      </c>
      <c r="D116" s="95">
        <v>14636710</v>
      </c>
      <c r="E116" s="95">
        <v>14848120</v>
      </c>
      <c r="F116" s="96">
        <v>-1.4200000000000001E-2</v>
      </c>
      <c r="G116" s="96">
        <v>0.28249999999999997</v>
      </c>
    </row>
    <row r="117" spans="1:7">
      <c r="A117" s="93" t="s">
        <v>360</v>
      </c>
      <c r="B117" s="94" t="s">
        <v>361</v>
      </c>
      <c r="C117" s="95">
        <v>3873</v>
      </c>
      <c r="D117" s="95">
        <v>40278850</v>
      </c>
      <c r="E117" s="95">
        <v>38282290</v>
      </c>
      <c r="F117" s="96">
        <v>5.2200000000000003E-2</v>
      </c>
      <c r="G117" s="96">
        <v>0.37130000000000002</v>
      </c>
    </row>
    <row r="118" spans="1:7">
      <c r="A118" s="93" t="s">
        <v>362</v>
      </c>
      <c r="B118" s="94" t="s">
        <v>363</v>
      </c>
      <c r="C118" s="95">
        <v>0</v>
      </c>
      <c r="D118" s="95">
        <v>0</v>
      </c>
      <c r="E118" s="95">
        <v>128010</v>
      </c>
      <c r="F118" s="96">
        <v>0</v>
      </c>
      <c r="G118" s="96">
        <v>0</v>
      </c>
    </row>
    <row r="119" spans="1:7">
      <c r="A119" s="93" t="s">
        <v>364</v>
      </c>
      <c r="B119" s="94" t="s">
        <v>365</v>
      </c>
      <c r="C119" s="95">
        <v>15</v>
      </c>
      <c r="D119" s="95">
        <v>374220</v>
      </c>
      <c r="E119" s="95">
        <v>1039090</v>
      </c>
      <c r="F119" s="96">
        <v>-0.63990000000000002</v>
      </c>
      <c r="G119" s="96">
        <v>0.30859999999999999</v>
      </c>
    </row>
    <row r="120" spans="1:7">
      <c r="A120" s="93" t="s">
        <v>366</v>
      </c>
      <c r="B120" s="94" t="s">
        <v>367</v>
      </c>
      <c r="C120" s="95">
        <v>102</v>
      </c>
      <c r="D120" s="95">
        <v>2071860</v>
      </c>
      <c r="E120" s="95">
        <v>0</v>
      </c>
      <c r="F120" s="96">
        <v>0</v>
      </c>
      <c r="G120" s="96">
        <v>0.24329999999999999</v>
      </c>
    </row>
    <row r="121" spans="1:7">
      <c r="A121" s="93" t="s">
        <v>368</v>
      </c>
      <c r="B121" s="94" t="s">
        <v>369</v>
      </c>
      <c r="C121" s="95">
        <v>114</v>
      </c>
      <c r="D121" s="95">
        <v>214700</v>
      </c>
      <c r="E121" s="95">
        <v>271140</v>
      </c>
      <c r="F121" s="96">
        <v>-0.2082</v>
      </c>
      <c r="G121" s="96">
        <v>0.41589999999999999</v>
      </c>
    </row>
    <row r="122" spans="1:7">
      <c r="A122" s="93" t="s">
        <v>52</v>
      </c>
      <c r="B122" s="94" t="s">
        <v>53</v>
      </c>
      <c r="C122" s="95">
        <v>1019</v>
      </c>
      <c r="D122" s="95">
        <v>12283310</v>
      </c>
      <c r="E122" s="95">
        <v>15064040</v>
      </c>
      <c r="F122" s="96">
        <v>-0.18459999999999999</v>
      </c>
      <c r="G122" s="96">
        <v>0.34420000000000001</v>
      </c>
    </row>
    <row r="123" spans="1:7">
      <c r="A123" s="93" t="s">
        <v>127</v>
      </c>
      <c r="B123" s="94" t="s">
        <v>128</v>
      </c>
      <c r="C123" s="95">
        <v>830</v>
      </c>
      <c r="D123" s="95">
        <v>8604930</v>
      </c>
      <c r="E123" s="95">
        <v>376520</v>
      </c>
      <c r="F123" s="96">
        <v>21.8538</v>
      </c>
      <c r="G123" s="96">
        <v>0.35909999999999997</v>
      </c>
    </row>
    <row r="124" spans="1:7">
      <c r="A124" s="93" t="s">
        <v>370</v>
      </c>
      <c r="B124" s="94" t="s">
        <v>371</v>
      </c>
      <c r="C124" s="95">
        <v>16</v>
      </c>
      <c r="D124" s="95">
        <v>272500</v>
      </c>
      <c r="E124" s="95">
        <v>0</v>
      </c>
      <c r="F124" s="96">
        <v>0</v>
      </c>
      <c r="G124" s="96">
        <v>0.34639999999999999</v>
      </c>
    </row>
    <row r="125" spans="1:7">
      <c r="A125" s="93" t="s">
        <v>372</v>
      </c>
      <c r="B125" s="94" t="s">
        <v>373</v>
      </c>
      <c r="C125" s="95">
        <v>9</v>
      </c>
      <c r="D125" s="95">
        <v>341960</v>
      </c>
      <c r="E125" s="95">
        <v>796500</v>
      </c>
      <c r="F125" s="96">
        <v>-0.57069999999999999</v>
      </c>
      <c r="G125" s="96">
        <v>0.18609999999999999</v>
      </c>
    </row>
    <row r="126" spans="1:7">
      <c r="A126" s="93" t="s">
        <v>374</v>
      </c>
      <c r="B126" s="94" t="s">
        <v>375</v>
      </c>
      <c r="C126" s="95">
        <v>113</v>
      </c>
      <c r="D126" s="95">
        <v>407500</v>
      </c>
      <c r="E126" s="95">
        <v>341230</v>
      </c>
      <c r="F126" s="96">
        <v>0.19420000000000001</v>
      </c>
      <c r="G126" s="96">
        <v>0.3846</v>
      </c>
    </row>
    <row r="127" spans="1:7">
      <c r="A127" s="93" t="s">
        <v>54</v>
      </c>
      <c r="B127" s="94" t="s">
        <v>55</v>
      </c>
      <c r="C127" s="95">
        <v>480</v>
      </c>
      <c r="D127" s="95">
        <v>3138900</v>
      </c>
      <c r="E127" s="95">
        <v>4484900</v>
      </c>
      <c r="F127" s="96">
        <v>-0.30009999999999998</v>
      </c>
      <c r="G127" s="96">
        <v>0.39140000000000003</v>
      </c>
    </row>
    <row r="128" spans="1:7">
      <c r="A128" s="93" t="s">
        <v>376</v>
      </c>
      <c r="B128" s="94" t="s">
        <v>377</v>
      </c>
      <c r="C128" s="95">
        <v>1044</v>
      </c>
      <c r="D128" s="95">
        <v>75758480</v>
      </c>
      <c r="E128" s="95">
        <v>82917320</v>
      </c>
      <c r="F128" s="96">
        <v>-8.6300000000000002E-2</v>
      </c>
      <c r="G128" s="96">
        <v>0.2152</v>
      </c>
    </row>
    <row r="129" spans="1:7">
      <c r="A129" s="93" t="s">
        <v>378</v>
      </c>
      <c r="B129" s="94" t="s">
        <v>379</v>
      </c>
      <c r="C129" s="95">
        <v>0</v>
      </c>
      <c r="D129" s="95">
        <v>0</v>
      </c>
      <c r="E129" s="95">
        <v>759110</v>
      </c>
      <c r="F129" s="96">
        <v>0</v>
      </c>
      <c r="G129" s="96">
        <v>0</v>
      </c>
    </row>
    <row r="130" spans="1:7">
      <c r="A130" s="93" t="s">
        <v>380</v>
      </c>
      <c r="B130" s="94" t="s">
        <v>381</v>
      </c>
      <c r="C130" s="95">
        <v>0</v>
      </c>
      <c r="D130" s="95">
        <v>0</v>
      </c>
      <c r="E130" s="95">
        <v>194540</v>
      </c>
      <c r="F130" s="96">
        <v>0</v>
      </c>
      <c r="G130" s="96">
        <v>0</v>
      </c>
    </row>
    <row r="131" spans="1:7">
      <c r="A131" s="93" t="s">
        <v>382</v>
      </c>
      <c r="B131" s="94" t="s">
        <v>383</v>
      </c>
      <c r="C131" s="95">
        <v>5</v>
      </c>
      <c r="D131" s="95">
        <v>115200</v>
      </c>
      <c r="E131" s="95">
        <v>0</v>
      </c>
      <c r="F131" s="96">
        <v>0</v>
      </c>
      <c r="G131" s="96">
        <v>0.21879999999999999</v>
      </c>
    </row>
    <row r="132" spans="1:7">
      <c r="A132" s="93" t="s">
        <v>384</v>
      </c>
      <c r="B132" s="94" t="s">
        <v>385</v>
      </c>
      <c r="C132" s="95">
        <v>1</v>
      </c>
      <c r="D132" s="95">
        <v>27900</v>
      </c>
      <c r="E132" s="95">
        <v>0</v>
      </c>
      <c r="F132" s="96">
        <v>0</v>
      </c>
      <c r="G132" s="96">
        <v>0.15</v>
      </c>
    </row>
    <row r="133" spans="1:7">
      <c r="A133" s="93" t="s">
        <v>386</v>
      </c>
      <c r="B133" s="94" t="s">
        <v>387</v>
      </c>
      <c r="C133" s="95">
        <v>2</v>
      </c>
      <c r="D133" s="95">
        <v>68600</v>
      </c>
      <c r="E133" s="95">
        <v>0</v>
      </c>
      <c r="F133" s="96">
        <v>0</v>
      </c>
      <c r="G133" s="96">
        <v>0.4</v>
      </c>
    </row>
    <row r="134" spans="1:7">
      <c r="A134" s="93" t="s">
        <v>388</v>
      </c>
      <c r="B134" s="94" t="s">
        <v>389</v>
      </c>
      <c r="C134" s="95">
        <v>580</v>
      </c>
      <c r="D134" s="95">
        <v>13749260</v>
      </c>
      <c r="E134" s="95">
        <v>0</v>
      </c>
      <c r="F134" s="96">
        <v>0</v>
      </c>
      <c r="G134" s="96">
        <v>0.21840000000000001</v>
      </c>
    </row>
    <row r="135" spans="1:7">
      <c r="A135" s="93" t="s">
        <v>390</v>
      </c>
      <c r="B135" s="94" t="s">
        <v>391</v>
      </c>
      <c r="C135" s="95">
        <v>51</v>
      </c>
      <c r="D135" s="95">
        <v>816000</v>
      </c>
      <c r="E135" s="95">
        <v>969900</v>
      </c>
      <c r="F135" s="96">
        <v>-0.15870000000000001</v>
      </c>
      <c r="G135" s="96">
        <v>0.29830000000000001</v>
      </c>
    </row>
    <row r="136" spans="1:7">
      <c r="A136" s="93" t="s">
        <v>392</v>
      </c>
      <c r="B136" s="94" t="s">
        <v>393</v>
      </c>
      <c r="C136" s="95">
        <v>0</v>
      </c>
      <c r="D136" s="95">
        <v>0</v>
      </c>
      <c r="E136" s="95">
        <v>2590000</v>
      </c>
      <c r="F136" s="96">
        <v>0</v>
      </c>
      <c r="G136" s="96">
        <v>0</v>
      </c>
    </row>
    <row r="137" spans="1:7">
      <c r="A137" s="93" t="s">
        <v>394</v>
      </c>
      <c r="B137" s="94" t="s">
        <v>395</v>
      </c>
      <c r="C137" s="95">
        <v>0</v>
      </c>
      <c r="D137" s="95">
        <v>0</v>
      </c>
      <c r="E137" s="95">
        <v>679130</v>
      </c>
      <c r="F137" s="96">
        <v>0</v>
      </c>
      <c r="G137" s="96">
        <v>0</v>
      </c>
    </row>
    <row r="138" spans="1:7">
      <c r="A138" s="93" t="s">
        <v>148</v>
      </c>
      <c r="B138" s="94" t="s">
        <v>396</v>
      </c>
      <c r="C138" s="95">
        <v>2105</v>
      </c>
      <c r="D138" s="95">
        <v>9144260</v>
      </c>
      <c r="E138" s="95">
        <v>0</v>
      </c>
      <c r="F138" s="96">
        <v>0</v>
      </c>
      <c r="G138" s="96">
        <v>0.28110000000000002</v>
      </c>
    </row>
    <row r="139" spans="1:7">
      <c r="A139" s="93" t="s">
        <v>397</v>
      </c>
      <c r="B139" s="94" t="s">
        <v>398</v>
      </c>
      <c r="C139" s="95">
        <v>304</v>
      </c>
      <c r="D139" s="95">
        <v>7983060</v>
      </c>
      <c r="E139" s="95">
        <v>7007950</v>
      </c>
      <c r="F139" s="96">
        <v>0.1391</v>
      </c>
      <c r="G139" s="96">
        <v>0.28870000000000001</v>
      </c>
    </row>
    <row r="140" spans="1:7">
      <c r="A140" s="93" t="s">
        <v>399</v>
      </c>
      <c r="B140" s="94" t="s">
        <v>400</v>
      </c>
      <c r="C140" s="95">
        <v>145</v>
      </c>
      <c r="D140" s="95">
        <v>1984370</v>
      </c>
      <c r="E140" s="95">
        <v>2891650</v>
      </c>
      <c r="F140" s="96">
        <v>-0.31380000000000002</v>
      </c>
      <c r="G140" s="96">
        <v>0.47170000000000001</v>
      </c>
    </row>
    <row r="141" spans="1:7">
      <c r="A141" s="93" t="s">
        <v>401</v>
      </c>
      <c r="B141" s="94" t="s">
        <v>402</v>
      </c>
      <c r="C141" s="95">
        <v>119</v>
      </c>
      <c r="D141" s="95">
        <v>1158200</v>
      </c>
      <c r="E141" s="95">
        <v>4246500</v>
      </c>
      <c r="F141" s="96">
        <v>-0.72729999999999995</v>
      </c>
      <c r="G141" s="96">
        <v>0.33939999999999998</v>
      </c>
    </row>
    <row r="142" spans="1:7">
      <c r="A142" s="93" t="s">
        <v>403</v>
      </c>
      <c r="B142" s="94" t="s">
        <v>404</v>
      </c>
      <c r="C142" s="95">
        <v>30</v>
      </c>
      <c r="D142" s="95">
        <v>122640</v>
      </c>
      <c r="E142" s="95">
        <v>189260</v>
      </c>
      <c r="F142" s="96">
        <v>-0.35199999999999998</v>
      </c>
      <c r="G142" s="96">
        <v>0.51239999999999997</v>
      </c>
    </row>
    <row r="143" spans="1:7">
      <c r="A143" s="93" t="s">
        <v>405</v>
      </c>
      <c r="B143" s="94" t="s">
        <v>406</v>
      </c>
      <c r="C143" s="95">
        <v>78</v>
      </c>
      <c r="D143" s="95">
        <v>1834650</v>
      </c>
      <c r="E143" s="95">
        <v>1730600</v>
      </c>
      <c r="F143" s="96">
        <v>6.0100000000000001E-2</v>
      </c>
      <c r="G143" s="96">
        <v>0.26669999999999999</v>
      </c>
    </row>
    <row r="144" spans="1:7">
      <c r="A144" s="93" t="s">
        <v>407</v>
      </c>
      <c r="B144" s="94" t="s">
        <v>408</v>
      </c>
      <c r="C144" s="95">
        <v>0</v>
      </c>
      <c r="D144" s="95">
        <v>0</v>
      </c>
      <c r="E144" s="95">
        <v>316860</v>
      </c>
      <c r="F144" s="96">
        <v>0</v>
      </c>
      <c r="G144" s="96">
        <v>0</v>
      </c>
    </row>
    <row r="145" spans="1:7">
      <c r="A145" s="93" t="s">
        <v>409</v>
      </c>
      <c r="B145" s="94" t="s">
        <v>410</v>
      </c>
      <c r="C145" s="95">
        <v>19</v>
      </c>
      <c r="D145" s="95">
        <v>198550</v>
      </c>
      <c r="E145" s="95">
        <v>97200</v>
      </c>
      <c r="F145" s="96">
        <v>1.0427</v>
      </c>
      <c r="G145" s="96">
        <v>0.4012</v>
      </c>
    </row>
    <row r="146" spans="1:7">
      <c r="A146" s="93" t="s">
        <v>411</v>
      </c>
      <c r="B146" s="94" t="s">
        <v>412</v>
      </c>
      <c r="C146" s="95">
        <v>49</v>
      </c>
      <c r="D146" s="95">
        <v>1080230</v>
      </c>
      <c r="E146" s="95">
        <v>0</v>
      </c>
      <c r="F146" s="96">
        <v>0</v>
      </c>
      <c r="G146" s="96">
        <v>0.2782</v>
      </c>
    </row>
    <row r="147" spans="1:7">
      <c r="A147" s="93" t="s">
        <v>413</v>
      </c>
      <c r="B147" s="94" t="s">
        <v>414</v>
      </c>
      <c r="C147" s="95">
        <v>0</v>
      </c>
      <c r="D147" s="95">
        <v>0</v>
      </c>
      <c r="E147" s="95">
        <v>1849470</v>
      </c>
      <c r="F147" s="96">
        <v>0</v>
      </c>
      <c r="G147" s="96">
        <v>0</v>
      </c>
    </row>
    <row r="148" spans="1:7">
      <c r="A148" s="93" t="s">
        <v>415</v>
      </c>
      <c r="B148" s="94" t="s">
        <v>416</v>
      </c>
      <c r="C148" s="95">
        <v>599</v>
      </c>
      <c r="D148" s="95">
        <v>11823900</v>
      </c>
      <c r="E148" s="95">
        <v>9946550</v>
      </c>
      <c r="F148" s="96">
        <v>0.18870000000000001</v>
      </c>
      <c r="G148" s="96">
        <v>0.2797</v>
      </c>
    </row>
    <row r="149" spans="1:7">
      <c r="A149" s="93" t="s">
        <v>417</v>
      </c>
      <c r="B149" s="94" t="s">
        <v>418</v>
      </c>
      <c r="C149" s="95">
        <v>0</v>
      </c>
      <c r="D149" s="95">
        <v>0</v>
      </c>
      <c r="E149" s="95">
        <v>75000</v>
      </c>
      <c r="F149" s="96">
        <v>0</v>
      </c>
      <c r="G149" s="96">
        <v>0</v>
      </c>
    </row>
    <row r="150" spans="1:7">
      <c r="A150" s="93" t="s">
        <v>419</v>
      </c>
      <c r="B150" s="94" t="s">
        <v>420</v>
      </c>
      <c r="C150" s="95">
        <v>7955</v>
      </c>
      <c r="D150" s="95">
        <v>10543510</v>
      </c>
      <c r="E150" s="95">
        <v>14321330</v>
      </c>
      <c r="F150" s="96">
        <v>-0.26379999999999998</v>
      </c>
      <c r="G150" s="96">
        <v>0.43859999999999999</v>
      </c>
    </row>
    <row r="151" spans="1:7">
      <c r="A151" s="93" t="s">
        <v>421</v>
      </c>
      <c r="B151" s="94" t="s">
        <v>422</v>
      </c>
      <c r="C151" s="95">
        <v>1013</v>
      </c>
      <c r="D151" s="95">
        <v>2695400</v>
      </c>
      <c r="E151" s="95">
        <v>0</v>
      </c>
      <c r="F151" s="96">
        <v>0</v>
      </c>
      <c r="G151" s="96">
        <v>0.50560000000000005</v>
      </c>
    </row>
    <row r="152" spans="1:7">
      <c r="A152" s="93" t="s">
        <v>423</v>
      </c>
      <c r="B152" s="94" t="s">
        <v>424</v>
      </c>
      <c r="C152" s="95">
        <v>2905</v>
      </c>
      <c r="D152" s="95">
        <v>8933520</v>
      </c>
      <c r="E152" s="95">
        <v>0</v>
      </c>
      <c r="F152" s="96">
        <v>0</v>
      </c>
      <c r="G152" s="96">
        <v>0.4667</v>
      </c>
    </row>
    <row r="153" spans="1:7">
      <c r="A153" s="93" t="s">
        <v>425</v>
      </c>
      <c r="B153" s="94" t="s">
        <v>426</v>
      </c>
      <c r="C153" s="95">
        <v>21</v>
      </c>
      <c r="D153" s="95">
        <v>92760</v>
      </c>
      <c r="E153" s="95">
        <v>126550</v>
      </c>
      <c r="F153" s="96">
        <v>-0.26700000000000002</v>
      </c>
      <c r="G153" s="96">
        <v>0.48549999999999999</v>
      </c>
    </row>
    <row r="154" spans="1:7">
      <c r="A154" s="93" t="s">
        <v>427</v>
      </c>
      <c r="B154" s="94" t="s">
        <v>428</v>
      </c>
      <c r="C154" s="95">
        <v>635</v>
      </c>
      <c r="D154" s="95">
        <v>18754270</v>
      </c>
      <c r="E154" s="95">
        <v>0</v>
      </c>
      <c r="F154" s="96">
        <v>0</v>
      </c>
      <c r="G154" s="96">
        <v>0.38190000000000002</v>
      </c>
    </row>
    <row r="155" spans="1:7">
      <c r="A155" s="93" t="s">
        <v>429</v>
      </c>
      <c r="B155" s="94" t="s">
        <v>430</v>
      </c>
      <c r="C155" s="95">
        <v>120</v>
      </c>
      <c r="D155" s="95">
        <v>14745750</v>
      </c>
      <c r="E155" s="95">
        <v>0</v>
      </c>
      <c r="F155" s="96">
        <v>0</v>
      </c>
      <c r="G155" s="96">
        <v>0.3992</v>
      </c>
    </row>
    <row r="156" spans="1:7">
      <c r="A156" s="93" t="s">
        <v>431</v>
      </c>
      <c r="B156" s="94" t="s">
        <v>432</v>
      </c>
      <c r="C156" s="95">
        <v>464</v>
      </c>
      <c r="D156" s="95">
        <v>23567480</v>
      </c>
      <c r="E156" s="95">
        <v>0</v>
      </c>
      <c r="F156" s="96">
        <v>0</v>
      </c>
      <c r="G156" s="96">
        <v>0.39250000000000002</v>
      </c>
    </row>
    <row r="157" spans="1:7">
      <c r="A157" s="93" t="s">
        <v>56</v>
      </c>
      <c r="B157" s="94" t="s">
        <v>57</v>
      </c>
      <c r="C157" s="95">
        <v>549</v>
      </c>
      <c r="D157" s="95">
        <v>2712580</v>
      </c>
      <c r="E157" s="95">
        <v>2795610</v>
      </c>
      <c r="F157" s="96">
        <v>-2.9700000000000001E-2</v>
      </c>
      <c r="G157" s="96">
        <v>0.38590000000000002</v>
      </c>
    </row>
    <row r="158" spans="1:7">
      <c r="A158" s="93" t="s">
        <v>433</v>
      </c>
      <c r="B158" s="94" t="s">
        <v>434</v>
      </c>
      <c r="C158" s="95">
        <v>9574</v>
      </c>
      <c r="D158" s="95">
        <v>19763780</v>
      </c>
      <c r="E158" s="95">
        <v>18862440</v>
      </c>
      <c r="F158" s="96">
        <v>4.7800000000000002E-2</v>
      </c>
      <c r="G158" s="96">
        <v>0.373</v>
      </c>
    </row>
    <row r="159" spans="1:7">
      <c r="A159" s="93" t="s">
        <v>435</v>
      </c>
      <c r="B159" s="94" t="s">
        <v>436</v>
      </c>
      <c r="C159" s="95">
        <v>1629</v>
      </c>
      <c r="D159" s="95">
        <v>2176010</v>
      </c>
      <c r="E159" s="95">
        <v>1817020</v>
      </c>
      <c r="F159" s="96">
        <v>0.1976</v>
      </c>
      <c r="G159" s="96">
        <v>0.48309999999999997</v>
      </c>
    </row>
    <row r="160" spans="1:7">
      <c r="A160" s="93" t="s">
        <v>437</v>
      </c>
      <c r="B160" s="94" t="s">
        <v>438</v>
      </c>
      <c r="C160" s="95">
        <v>0</v>
      </c>
      <c r="D160" s="95">
        <v>0</v>
      </c>
      <c r="E160" s="95">
        <v>2970</v>
      </c>
      <c r="F160" s="96">
        <v>0</v>
      </c>
      <c r="G160" s="96">
        <v>0</v>
      </c>
    </row>
    <row r="161" spans="1:7">
      <c r="A161" s="93" t="s">
        <v>58</v>
      </c>
      <c r="B161" s="94" t="s">
        <v>59</v>
      </c>
      <c r="C161" s="95">
        <v>0</v>
      </c>
      <c r="D161" s="95">
        <v>0</v>
      </c>
      <c r="E161" s="95">
        <v>2263170</v>
      </c>
      <c r="F161" s="96">
        <v>0</v>
      </c>
      <c r="G161" s="96">
        <v>0</v>
      </c>
    </row>
    <row r="162" spans="1:7">
      <c r="A162" s="93" t="s">
        <v>60</v>
      </c>
      <c r="B162" s="94" t="s">
        <v>61</v>
      </c>
      <c r="C162" s="95">
        <v>2787</v>
      </c>
      <c r="D162" s="95">
        <v>11309300</v>
      </c>
      <c r="E162" s="95">
        <v>10426610</v>
      </c>
      <c r="F162" s="96">
        <v>8.4699999999999998E-2</v>
      </c>
      <c r="G162" s="96">
        <v>0.35949999999999999</v>
      </c>
    </row>
    <row r="163" spans="1:7">
      <c r="A163" s="93" t="s">
        <v>439</v>
      </c>
      <c r="B163" s="94" t="s">
        <v>440</v>
      </c>
      <c r="C163" s="95">
        <v>111</v>
      </c>
      <c r="D163" s="95">
        <v>1413870</v>
      </c>
      <c r="E163" s="95">
        <v>10661930</v>
      </c>
      <c r="F163" s="96">
        <v>-0.86739999999999995</v>
      </c>
      <c r="G163" s="96">
        <v>0.29020000000000001</v>
      </c>
    </row>
    <row r="164" spans="1:7">
      <c r="A164" s="93" t="s">
        <v>441</v>
      </c>
      <c r="B164" s="94" t="s">
        <v>442</v>
      </c>
      <c r="C164" s="95">
        <v>0</v>
      </c>
      <c r="D164" s="95">
        <v>0</v>
      </c>
      <c r="E164" s="95">
        <v>16797840</v>
      </c>
      <c r="F164" s="96">
        <v>0</v>
      </c>
      <c r="G164" s="96">
        <v>0</v>
      </c>
    </row>
    <row r="165" spans="1:7">
      <c r="A165" s="93" t="s">
        <v>443</v>
      </c>
      <c r="B165" s="94" t="s">
        <v>444</v>
      </c>
      <c r="C165" s="95">
        <v>27</v>
      </c>
      <c r="D165" s="95">
        <v>2314400</v>
      </c>
      <c r="E165" s="95">
        <v>1451300</v>
      </c>
      <c r="F165" s="96">
        <v>0.59470000000000001</v>
      </c>
      <c r="G165" s="96">
        <v>0.28860000000000002</v>
      </c>
    </row>
    <row r="166" spans="1:7">
      <c r="A166" s="93" t="s">
        <v>445</v>
      </c>
      <c r="B166" s="94" t="s">
        <v>446</v>
      </c>
      <c r="C166" s="95">
        <v>0</v>
      </c>
      <c r="D166" s="95">
        <v>0</v>
      </c>
      <c r="E166" s="95">
        <v>27000</v>
      </c>
      <c r="F166" s="96">
        <v>0</v>
      </c>
      <c r="G166" s="96">
        <v>0</v>
      </c>
    </row>
    <row r="167" spans="1:7">
      <c r="A167" s="93" t="s">
        <v>447</v>
      </c>
      <c r="B167" s="94" t="s">
        <v>448</v>
      </c>
      <c r="C167" s="95">
        <v>81</v>
      </c>
      <c r="D167" s="95">
        <v>1828570</v>
      </c>
      <c r="E167" s="95">
        <v>0</v>
      </c>
      <c r="F167" s="96">
        <v>0</v>
      </c>
      <c r="G167" s="96">
        <v>0.2387</v>
      </c>
    </row>
    <row r="168" spans="1:7">
      <c r="A168" s="93" t="s">
        <v>449</v>
      </c>
      <c r="B168" s="94" t="s">
        <v>450</v>
      </c>
      <c r="C168" s="95">
        <v>8</v>
      </c>
      <c r="D168" s="95">
        <v>136070</v>
      </c>
      <c r="E168" s="95">
        <v>100610</v>
      </c>
      <c r="F168" s="96">
        <v>0.35249999999999998</v>
      </c>
      <c r="G168" s="96">
        <v>0.37140000000000001</v>
      </c>
    </row>
    <row r="169" spans="1:7">
      <c r="A169" s="93" t="s">
        <v>451</v>
      </c>
      <c r="B169" s="94" t="s">
        <v>452</v>
      </c>
      <c r="C169" s="95">
        <v>32</v>
      </c>
      <c r="D169" s="95">
        <v>723680</v>
      </c>
      <c r="E169" s="95">
        <v>0</v>
      </c>
      <c r="F169" s="96">
        <v>0</v>
      </c>
      <c r="G169" s="96">
        <v>0.31340000000000001</v>
      </c>
    </row>
    <row r="170" spans="1:7">
      <c r="A170" s="93" t="s">
        <v>453</v>
      </c>
      <c r="B170" s="94" t="s">
        <v>454</v>
      </c>
      <c r="C170" s="95">
        <v>8</v>
      </c>
      <c r="D170" s="95">
        <v>43260</v>
      </c>
      <c r="E170" s="95">
        <v>58470</v>
      </c>
      <c r="F170" s="96">
        <v>-0.2601</v>
      </c>
      <c r="G170" s="96">
        <v>0.4088</v>
      </c>
    </row>
    <row r="171" spans="1:7">
      <c r="A171" s="93" t="s">
        <v>455</v>
      </c>
      <c r="B171" s="94" t="s">
        <v>456</v>
      </c>
      <c r="C171" s="95">
        <v>0</v>
      </c>
      <c r="D171" s="95">
        <v>0</v>
      </c>
      <c r="E171" s="95">
        <v>122870</v>
      </c>
      <c r="F171" s="96">
        <v>0</v>
      </c>
      <c r="G171" s="96">
        <v>0</v>
      </c>
    </row>
    <row r="172" spans="1:7">
      <c r="A172" s="93" t="s">
        <v>457</v>
      </c>
      <c r="B172" s="94" t="s">
        <v>458</v>
      </c>
      <c r="C172" s="95">
        <v>48</v>
      </c>
      <c r="D172" s="95">
        <v>647260</v>
      </c>
      <c r="E172" s="95">
        <v>0</v>
      </c>
      <c r="F172" s="96">
        <v>0</v>
      </c>
      <c r="G172" s="96">
        <v>0.25850000000000001</v>
      </c>
    </row>
    <row r="173" spans="1:7">
      <c r="A173" s="93" t="s">
        <v>62</v>
      </c>
      <c r="B173" s="94" t="s">
        <v>63</v>
      </c>
      <c r="C173" s="95">
        <v>254</v>
      </c>
      <c r="D173" s="95">
        <v>605990</v>
      </c>
      <c r="E173" s="95">
        <v>628790</v>
      </c>
      <c r="F173" s="96">
        <v>-3.6299999999999999E-2</v>
      </c>
      <c r="G173" s="96">
        <v>0.34139999999999998</v>
      </c>
    </row>
    <row r="174" spans="1:7">
      <c r="A174" s="93" t="s">
        <v>459</v>
      </c>
      <c r="B174" s="94" t="s">
        <v>460</v>
      </c>
      <c r="C174" s="95">
        <v>4</v>
      </c>
      <c r="D174" s="95">
        <v>312800</v>
      </c>
      <c r="E174" s="95">
        <v>250950</v>
      </c>
      <c r="F174" s="96">
        <v>0.2465</v>
      </c>
      <c r="G174" s="96">
        <v>0.28389999999999999</v>
      </c>
    </row>
    <row r="175" spans="1:7">
      <c r="A175" s="93" t="s">
        <v>461</v>
      </c>
      <c r="B175" s="94" t="s">
        <v>462</v>
      </c>
      <c r="C175" s="95">
        <v>3</v>
      </c>
      <c r="D175" s="95">
        <v>108900</v>
      </c>
      <c r="E175" s="95">
        <v>61750</v>
      </c>
      <c r="F175" s="96">
        <v>0.76359999999999995</v>
      </c>
      <c r="G175" s="96">
        <v>0.28699999999999998</v>
      </c>
    </row>
    <row r="176" spans="1:7">
      <c r="A176" s="93" t="s">
        <v>463</v>
      </c>
      <c r="B176" s="94" t="s">
        <v>464</v>
      </c>
      <c r="C176" s="95">
        <v>172</v>
      </c>
      <c r="D176" s="95">
        <v>1095990</v>
      </c>
      <c r="E176" s="95">
        <v>1034080</v>
      </c>
      <c r="F176" s="96">
        <v>5.9900000000000002E-2</v>
      </c>
      <c r="G176" s="96">
        <v>0.33800000000000002</v>
      </c>
    </row>
    <row r="177" spans="1:7">
      <c r="A177" s="93" t="s">
        <v>64</v>
      </c>
      <c r="B177" s="94" t="s">
        <v>65</v>
      </c>
      <c r="C177" s="95">
        <v>85</v>
      </c>
      <c r="D177" s="95">
        <v>1197430</v>
      </c>
      <c r="E177" s="95">
        <v>1034660</v>
      </c>
      <c r="F177" s="96">
        <v>0.1573</v>
      </c>
      <c r="G177" s="96">
        <v>0.3765</v>
      </c>
    </row>
    <row r="178" spans="1:7">
      <c r="A178" s="93" t="s">
        <v>465</v>
      </c>
      <c r="B178" s="94" t="s">
        <v>466</v>
      </c>
      <c r="C178" s="95">
        <v>1206</v>
      </c>
      <c r="D178" s="95">
        <v>16077030</v>
      </c>
      <c r="E178" s="95">
        <v>18601370</v>
      </c>
      <c r="F178" s="96">
        <v>-0.13569999999999999</v>
      </c>
      <c r="G178" s="96">
        <v>0.37690000000000001</v>
      </c>
    </row>
    <row r="179" spans="1:7">
      <c r="A179" s="93" t="s">
        <v>467</v>
      </c>
      <c r="B179" s="94" t="s">
        <v>468</v>
      </c>
      <c r="C179" s="95">
        <v>0</v>
      </c>
      <c r="D179" s="95">
        <v>0</v>
      </c>
      <c r="E179" s="95">
        <v>3536730</v>
      </c>
      <c r="F179" s="96">
        <v>0</v>
      </c>
      <c r="G179" s="96">
        <v>0</v>
      </c>
    </row>
    <row r="180" spans="1:7">
      <c r="A180" s="93" t="s">
        <v>469</v>
      </c>
      <c r="B180" s="94" t="s">
        <v>470</v>
      </c>
      <c r="C180" s="95">
        <v>14</v>
      </c>
      <c r="D180" s="95">
        <v>343280</v>
      </c>
      <c r="E180" s="95">
        <v>0</v>
      </c>
      <c r="F180" s="96">
        <v>0</v>
      </c>
      <c r="G180" s="96">
        <v>0.33650000000000002</v>
      </c>
    </row>
    <row r="181" spans="1:7">
      <c r="A181" s="93" t="s">
        <v>66</v>
      </c>
      <c r="B181" s="94" t="s">
        <v>67</v>
      </c>
      <c r="C181" s="95">
        <v>1811</v>
      </c>
      <c r="D181" s="95">
        <v>8418860</v>
      </c>
      <c r="E181" s="95">
        <v>8572000</v>
      </c>
      <c r="F181" s="96">
        <v>-1.7899999999999999E-2</v>
      </c>
      <c r="G181" s="96">
        <v>0.37209999999999999</v>
      </c>
    </row>
    <row r="182" spans="1:7">
      <c r="A182" s="93" t="s">
        <v>471</v>
      </c>
      <c r="B182" s="94" t="s">
        <v>472</v>
      </c>
      <c r="C182" s="95">
        <v>0</v>
      </c>
      <c r="D182" s="95">
        <v>0</v>
      </c>
      <c r="E182" s="95">
        <v>1563700</v>
      </c>
      <c r="F182" s="96">
        <v>0</v>
      </c>
      <c r="G182" s="96">
        <v>0</v>
      </c>
    </row>
    <row r="183" spans="1:7">
      <c r="A183" s="93" t="s">
        <v>473</v>
      </c>
      <c r="B183" s="94" t="s">
        <v>474</v>
      </c>
      <c r="C183" s="95">
        <v>11</v>
      </c>
      <c r="D183" s="95">
        <v>190700</v>
      </c>
      <c r="E183" s="95">
        <v>0</v>
      </c>
      <c r="F183" s="96">
        <v>0</v>
      </c>
      <c r="G183" s="96">
        <v>0.31540000000000001</v>
      </c>
    </row>
    <row r="184" spans="1:7">
      <c r="A184" s="93" t="s">
        <v>475</v>
      </c>
      <c r="B184" s="94" t="s">
        <v>476</v>
      </c>
      <c r="C184" s="95">
        <v>374</v>
      </c>
      <c r="D184" s="95">
        <v>108350</v>
      </c>
      <c r="E184" s="95">
        <v>146190</v>
      </c>
      <c r="F184" s="96">
        <v>-0.25879999999999997</v>
      </c>
      <c r="G184" s="96">
        <v>0.53400000000000003</v>
      </c>
    </row>
    <row r="185" spans="1:7">
      <c r="A185" s="93" t="s">
        <v>477</v>
      </c>
      <c r="B185" s="94" t="s">
        <v>478</v>
      </c>
      <c r="C185" s="95">
        <v>327</v>
      </c>
      <c r="D185" s="95">
        <v>20566380</v>
      </c>
      <c r="E185" s="95">
        <v>0</v>
      </c>
      <c r="F185" s="96">
        <v>0</v>
      </c>
      <c r="G185" s="96">
        <v>0.25369999999999998</v>
      </c>
    </row>
    <row r="186" spans="1:7">
      <c r="A186" s="93" t="s">
        <v>479</v>
      </c>
      <c r="B186" s="94" t="s">
        <v>480</v>
      </c>
      <c r="C186" s="95">
        <v>5230</v>
      </c>
      <c r="D186" s="95">
        <v>13323090</v>
      </c>
      <c r="E186" s="95">
        <v>9865800</v>
      </c>
      <c r="F186" s="96">
        <v>0.35039999999999999</v>
      </c>
      <c r="G186" s="96">
        <v>0.37490000000000001</v>
      </c>
    </row>
    <row r="187" spans="1:7">
      <c r="A187" s="93" t="s">
        <v>481</v>
      </c>
      <c r="B187" s="94" t="s">
        <v>482</v>
      </c>
      <c r="C187" s="95">
        <v>42</v>
      </c>
      <c r="D187" s="95">
        <v>421750</v>
      </c>
      <c r="E187" s="95">
        <v>0</v>
      </c>
      <c r="F187" s="96">
        <v>0</v>
      </c>
      <c r="G187" s="96">
        <v>0.33500000000000002</v>
      </c>
    </row>
    <row r="188" spans="1:7">
      <c r="A188" s="93" t="s">
        <v>483</v>
      </c>
      <c r="B188" s="94" t="s">
        <v>484</v>
      </c>
      <c r="C188" s="95">
        <v>543</v>
      </c>
      <c r="D188" s="95">
        <v>8956800</v>
      </c>
      <c r="E188" s="95">
        <v>0</v>
      </c>
      <c r="F188" s="96">
        <v>0</v>
      </c>
      <c r="G188" s="96">
        <v>0.31740000000000002</v>
      </c>
    </row>
    <row r="189" spans="1:7">
      <c r="A189" s="93" t="s">
        <v>485</v>
      </c>
      <c r="B189" s="94" t="s">
        <v>486</v>
      </c>
      <c r="C189" s="95">
        <v>0</v>
      </c>
      <c r="D189" s="95">
        <v>0</v>
      </c>
      <c r="E189" s="95">
        <v>4046000</v>
      </c>
      <c r="F189" s="96">
        <v>0</v>
      </c>
      <c r="G189" s="96">
        <v>0</v>
      </c>
    </row>
    <row r="190" spans="1:7">
      <c r="A190" s="93" t="s">
        <v>68</v>
      </c>
      <c r="B190" s="94" t="s">
        <v>69</v>
      </c>
      <c r="C190" s="95">
        <v>1677</v>
      </c>
      <c r="D190" s="95">
        <v>12482440</v>
      </c>
      <c r="E190" s="95">
        <v>9275080</v>
      </c>
      <c r="F190" s="96">
        <v>0.3458</v>
      </c>
      <c r="G190" s="96">
        <v>0.36</v>
      </c>
    </row>
    <row r="191" spans="1:7">
      <c r="A191" s="93" t="s">
        <v>487</v>
      </c>
      <c r="B191" s="94" t="s">
        <v>488</v>
      </c>
      <c r="C191" s="95">
        <v>860</v>
      </c>
      <c r="D191" s="95">
        <v>1679380</v>
      </c>
      <c r="E191" s="95">
        <v>236080</v>
      </c>
      <c r="F191" s="96">
        <v>6.1135999999999999</v>
      </c>
      <c r="G191" s="96">
        <v>0.61750000000000005</v>
      </c>
    </row>
    <row r="192" spans="1:7">
      <c r="A192" s="93" t="s">
        <v>489</v>
      </c>
      <c r="B192" s="94" t="s">
        <v>490</v>
      </c>
      <c r="C192" s="95">
        <v>0</v>
      </c>
      <c r="D192" s="95">
        <v>0</v>
      </c>
      <c r="E192" s="95">
        <v>12800</v>
      </c>
      <c r="F192" s="96">
        <v>0</v>
      </c>
      <c r="G192" s="96">
        <v>0</v>
      </c>
    </row>
    <row r="193" spans="1:7">
      <c r="A193" s="93" t="s">
        <v>491</v>
      </c>
      <c r="B193" s="94" t="s">
        <v>492</v>
      </c>
      <c r="C193" s="95">
        <v>501</v>
      </c>
      <c r="D193" s="95">
        <v>4660000</v>
      </c>
      <c r="E193" s="95">
        <v>6666820</v>
      </c>
      <c r="F193" s="96">
        <v>-0.30099999999999999</v>
      </c>
      <c r="G193" s="96">
        <v>0.3392</v>
      </c>
    </row>
    <row r="194" spans="1:7">
      <c r="A194" s="93" t="s">
        <v>493</v>
      </c>
      <c r="B194" s="94" t="s">
        <v>494</v>
      </c>
      <c r="C194" s="95">
        <v>1347</v>
      </c>
      <c r="D194" s="95">
        <v>7270300</v>
      </c>
      <c r="E194" s="95">
        <v>0</v>
      </c>
      <c r="F194" s="96">
        <v>0</v>
      </c>
      <c r="G194" s="96">
        <v>0.2883</v>
      </c>
    </row>
    <row r="195" spans="1:7">
      <c r="A195" s="93" t="s">
        <v>495</v>
      </c>
      <c r="B195" s="94" t="s">
        <v>496</v>
      </c>
      <c r="C195" s="95">
        <v>13</v>
      </c>
      <c r="D195" s="95">
        <v>182440</v>
      </c>
      <c r="E195" s="95">
        <v>320220</v>
      </c>
      <c r="F195" s="96">
        <v>-0.43030000000000002</v>
      </c>
      <c r="G195" s="96">
        <v>0.44750000000000001</v>
      </c>
    </row>
    <row r="196" spans="1:7">
      <c r="A196" s="93" t="s">
        <v>497</v>
      </c>
      <c r="B196" s="94" t="s">
        <v>498</v>
      </c>
      <c r="C196" s="95">
        <v>0</v>
      </c>
      <c r="D196" s="95">
        <v>0</v>
      </c>
      <c r="E196" s="95">
        <v>10500</v>
      </c>
      <c r="F196" s="96">
        <v>0</v>
      </c>
      <c r="G196" s="96">
        <v>0</v>
      </c>
    </row>
    <row r="197" spans="1:7">
      <c r="A197" s="93" t="s">
        <v>499</v>
      </c>
      <c r="B197" s="94" t="s">
        <v>500</v>
      </c>
      <c r="C197" s="95">
        <v>18</v>
      </c>
      <c r="D197" s="95">
        <v>98430</v>
      </c>
      <c r="E197" s="95">
        <v>108270</v>
      </c>
      <c r="F197" s="96">
        <v>-9.0899999999999995E-2</v>
      </c>
      <c r="G197" s="96">
        <v>0.31359999999999999</v>
      </c>
    </row>
    <row r="198" spans="1:7">
      <c r="A198" s="93" t="s">
        <v>501</v>
      </c>
      <c r="B198" s="94" t="s">
        <v>502</v>
      </c>
      <c r="C198" s="95">
        <v>0</v>
      </c>
      <c r="D198" s="95">
        <v>0</v>
      </c>
      <c r="E198" s="95">
        <v>6500</v>
      </c>
      <c r="F198" s="96">
        <v>0</v>
      </c>
      <c r="G198" s="96">
        <v>0</v>
      </c>
    </row>
    <row r="199" spans="1:7">
      <c r="A199" s="93" t="s">
        <v>503</v>
      </c>
      <c r="B199" s="94" t="s">
        <v>504</v>
      </c>
      <c r="C199" s="95">
        <v>0</v>
      </c>
      <c r="D199" s="95">
        <v>290</v>
      </c>
      <c r="E199" s="95">
        <v>0</v>
      </c>
      <c r="F199" s="96">
        <v>0</v>
      </c>
      <c r="G199" s="96">
        <v>5.5517000000000003</v>
      </c>
    </row>
    <row r="200" spans="1:7">
      <c r="A200" s="93" t="s">
        <v>505</v>
      </c>
      <c r="B200" s="94" t="s">
        <v>506</v>
      </c>
      <c r="C200" s="95">
        <v>491</v>
      </c>
      <c r="D200" s="95">
        <v>1119330</v>
      </c>
      <c r="E200" s="95">
        <v>931930</v>
      </c>
      <c r="F200" s="96">
        <v>0.2011</v>
      </c>
      <c r="G200" s="96">
        <v>0.45669999999999999</v>
      </c>
    </row>
    <row r="201" spans="1:7">
      <c r="A201" s="93" t="s">
        <v>507</v>
      </c>
      <c r="B201" s="94" t="s">
        <v>508</v>
      </c>
      <c r="C201" s="95">
        <v>382</v>
      </c>
      <c r="D201" s="95">
        <v>721060</v>
      </c>
      <c r="E201" s="95">
        <v>706930</v>
      </c>
      <c r="F201" s="96">
        <v>0.02</v>
      </c>
      <c r="G201" s="96">
        <v>0.37430000000000002</v>
      </c>
    </row>
    <row r="202" spans="1:7">
      <c r="A202" s="93" t="s">
        <v>509</v>
      </c>
      <c r="B202" s="94" t="s">
        <v>510</v>
      </c>
      <c r="C202" s="95">
        <v>379</v>
      </c>
      <c r="D202" s="95">
        <v>525770</v>
      </c>
      <c r="E202" s="95">
        <v>495110</v>
      </c>
      <c r="F202" s="96">
        <v>6.1899999999999997E-2</v>
      </c>
      <c r="G202" s="96">
        <v>0.42899999999999999</v>
      </c>
    </row>
    <row r="203" spans="1:7">
      <c r="A203" s="93" t="s">
        <v>129</v>
      </c>
      <c r="B203" s="94" t="s">
        <v>130</v>
      </c>
      <c r="C203" s="95">
        <v>122</v>
      </c>
      <c r="D203" s="95">
        <v>1512840</v>
      </c>
      <c r="E203" s="95">
        <v>0</v>
      </c>
      <c r="F203" s="96">
        <v>0</v>
      </c>
      <c r="G203" s="96">
        <v>0.25059999999999999</v>
      </c>
    </row>
    <row r="204" spans="1:7">
      <c r="A204" s="93" t="s">
        <v>511</v>
      </c>
      <c r="B204" s="94" t="s">
        <v>512</v>
      </c>
      <c r="C204" s="95">
        <v>77</v>
      </c>
      <c r="D204" s="95">
        <v>467810</v>
      </c>
      <c r="E204" s="95">
        <v>553330</v>
      </c>
      <c r="F204" s="96">
        <v>-0.15459999999999999</v>
      </c>
      <c r="G204" s="96">
        <v>0.33310000000000001</v>
      </c>
    </row>
    <row r="205" spans="1:7">
      <c r="A205" s="93" t="s">
        <v>513</v>
      </c>
      <c r="B205" s="94" t="s">
        <v>514</v>
      </c>
      <c r="C205" s="95">
        <v>0</v>
      </c>
      <c r="D205" s="95">
        <v>0</v>
      </c>
      <c r="E205" s="95">
        <v>1849320</v>
      </c>
      <c r="F205" s="96">
        <v>0</v>
      </c>
      <c r="G205" s="96">
        <v>0</v>
      </c>
    </row>
    <row r="206" spans="1:7">
      <c r="A206" s="93" t="s">
        <v>515</v>
      </c>
      <c r="B206" s="94" t="s">
        <v>516</v>
      </c>
      <c r="C206" s="95">
        <v>0</v>
      </c>
      <c r="D206" s="95">
        <v>0</v>
      </c>
      <c r="E206" s="95">
        <v>2490000</v>
      </c>
      <c r="F206" s="96">
        <v>0</v>
      </c>
      <c r="G206" s="96">
        <v>0</v>
      </c>
    </row>
    <row r="207" spans="1:7">
      <c r="A207" s="93" t="s">
        <v>517</v>
      </c>
      <c r="B207" s="94" t="s">
        <v>518</v>
      </c>
      <c r="C207" s="95">
        <v>187</v>
      </c>
      <c r="D207" s="95">
        <v>2510620</v>
      </c>
      <c r="E207" s="95">
        <v>0</v>
      </c>
      <c r="F207" s="96">
        <v>0</v>
      </c>
      <c r="G207" s="96">
        <v>0.2636</v>
      </c>
    </row>
    <row r="208" spans="1:7">
      <c r="A208" s="93" t="s">
        <v>70</v>
      </c>
      <c r="B208" s="94" t="s">
        <v>71</v>
      </c>
      <c r="C208" s="95">
        <v>0</v>
      </c>
      <c r="D208" s="95">
        <v>0</v>
      </c>
      <c r="E208" s="95">
        <v>12512200</v>
      </c>
      <c r="F208" s="96">
        <v>0</v>
      </c>
      <c r="G208" s="96">
        <v>0</v>
      </c>
    </row>
    <row r="209" spans="1:7">
      <c r="A209" s="93" t="s">
        <v>519</v>
      </c>
      <c r="B209" s="94" t="s">
        <v>520</v>
      </c>
      <c r="C209" s="95">
        <v>77</v>
      </c>
      <c r="D209" s="95">
        <v>922630</v>
      </c>
      <c r="E209" s="95">
        <v>1157900</v>
      </c>
      <c r="F209" s="96">
        <v>-0.20319999999999999</v>
      </c>
      <c r="G209" s="96">
        <v>0.32790000000000002</v>
      </c>
    </row>
    <row r="210" spans="1:7">
      <c r="A210" s="93" t="s">
        <v>521</v>
      </c>
      <c r="B210" s="94" t="s">
        <v>522</v>
      </c>
      <c r="C210" s="95">
        <v>0</v>
      </c>
      <c r="D210" s="95">
        <v>0</v>
      </c>
      <c r="E210" s="95">
        <v>432000</v>
      </c>
      <c r="F210" s="96">
        <v>0</v>
      </c>
      <c r="G210" s="96">
        <v>0</v>
      </c>
    </row>
    <row r="211" spans="1:7">
      <c r="A211" s="93" t="s">
        <v>523</v>
      </c>
      <c r="B211" s="94" t="s">
        <v>524</v>
      </c>
      <c r="C211" s="95">
        <v>1307</v>
      </c>
      <c r="D211" s="95">
        <v>3747600</v>
      </c>
      <c r="E211" s="95">
        <v>4284500</v>
      </c>
      <c r="F211" s="96">
        <v>-0.12529999999999999</v>
      </c>
      <c r="G211" s="96">
        <v>0.43380000000000002</v>
      </c>
    </row>
    <row r="212" spans="1:7">
      <c r="A212" s="93" t="s">
        <v>525</v>
      </c>
      <c r="B212" s="94" t="s">
        <v>526</v>
      </c>
      <c r="C212" s="95">
        <v>56</v>
      </c>
      <c r="D212" s="95">
        <v>715820</v>
      </c>
      <c r="E212" s="95">
        <v>736320</v>
      </c>
      <c r="F212" s="96">
        <v>-2.7799999999999998E-2</v>
      </c>
      <c r="G212" s="96">
        <v>0.39300000000000002</v>
      </c>
    </row>
    <row r="213" spans="1:7">
      <c r="A213" s="93" t="s">
        <v>527</v>
      </c>
      <c r="B213" s="94" t="s">
        <v>528</v>
      </c>
      <c r="C213" s="95">
        <v>0</v>
      </c>
      <c r="D213" s="95">
        <v>0</v>
      </c>
      <c r="E213" s="95">
        <v>219390</v>
      </c>
      <c r="F213" s="96">
        <v>0</v>
      </c>
      <c r="G213" s="96">
        <v>0</v>
      </c>
    </row>
    <row r="214" spans="1:7">
      <c r="A214" s="93" t="s">
        <v>529</v>
      </c>
      <c r="B214" s="94" t="s">
        <v>530</v>
      </c>
      <c r="C214" s="95">
        <v>3</v>
      </c>
      <c r="D214" s="95">
        <v>63150</v>
      </c>
      <c r="E214" s="95">
        <v>7640</v>
      </c>
      <c r="F214" s="96">
        <v>7.2656999999999998</v>
      </c>
      <c r="G214" s="96">
        <v>0.37809999999999999</v>
      </c>
    </row>
    <row r="215" spans="1:7">
      <c r="A215" s="93" t="s">
        <v>531</v>
      </c>
      <c r="B215" s="94" t="s">
        <v>532</v>
      </c>
      <c r="C215" s="95">
        <v>543</v>
      </c>
      <c r="D215" s="95">
        <v>7185570</v>
      </c>
      <c r="E215" s="95">
        <v>0</v>
      </c>
      <c r="F215" s="96">
        <v>0</v>
      </c>
      <c r="G215" s="96">
        <v>0.1918</v>
      </c>
    </row>
    <row r="216" spans="1:7">
      <c r="A216" s="93" t="s">
        <v>533</v>
      </c>
      <c r="B216" s="94" t="s">
        <v>534</v>
      </c>
      <c r="C216" s="95">
        <v>0</v>
      </c>
      <c r="D216" s="95">
        <v>0</v>
      </c>
      <c r="E216" s="95">
        <v>8000</v>
      </c>
      <c r="F216" s="96">
        <v>0</v>
      </c>
      <c r="G216" s="96">
        <v>0</v>
      </c>
    </row>
    <row r="217" spans="1:7">
      <c r="A217" s="93" t="s">
        <v>535</v>
      </c>
      <c r="B217" s="94" t="s">
        <v>536</v>
      </c>
      <c r="C217" s="95">
        <v>0</v>
      </c>
      <c r="D217" s="95">
        <v>0</v>
      </c>
      <c r="E217" s="95">
        <v>21000</v>
      </c>
      <c r="F217" s="96">
        <v>0</v>
      </c>
      <c r="G217" s="96">
        <v>0</v>
      </c>
    </row>
    <row r="218" spans="1:7">
      <c r="A218" s="93" t="s">
        <v>537</v>
      </c>
      <c r="B218" s="94" t="s">
        <v>538</v>
      </c>
      <c r="C218" s="95">
        <v>0</v>
      </c>
      <c r="D218" s="95">
        <v>0</v>
      </c>
      <c r="E218" s="95">
        <v>0</v>
      </c>
      <c r="F218" s="96">
        <v>0</v>
      </c>
      <c r="G218" s="96">
        <v>0</v>
      </c>
    </row>
    <row r="219" spans="1:7">
      <c r="A219" s="93" t="s">
        <v>539</v>
      </c>
      <c r="B219" s="94" t="s">
        <v>540</v>
      </c>
      <c r="C219" s="95">
        <v>169</v>
      </c>
      <c r="D219" s="95">
        <v>955370</v>
      </c>
      <c r="E219" s="95">
        <v>939700</v>
      </c>
      <c r="F219" s="96">
        <v>1.67E-2</v>
      </c>
      <c r="G219" s="96">
        <v>0.41389999999999999</v>
      </c>
    </row>
    <row r="220" spans="1:7">
      <c r="A220" s="93" t="s">
        <v>541</v>
      </c>
      <c r="B220" s="94" t="s">
        <v>542</v>
      </c>
      <c r="C220" s="95">
        <v>24</v>
      </c>
      <c r="D220" s="95">
        <v>1971800</v>
      </c>
      <c r="E220" s="95">
        <v>11796670</v>
      </c>
      <c r="F220" s="96">
        <v>-0.83289999999999997</v>
      </c>
      <c r="G220" s="96">
        <v>0.19020000000000001</v>
      </c>
    </row>
    <row r="221" spans="1:7">
      <c r="A221" s="93" t="s">
        <v>543</v>
      </c>
      <c r="B221" s="94" t="s">
        <v>544</v>
      </c>
      <c r="C221" s="95">
        <v>268</v>
      </c>
      <c r="D221" s="95">
        <v>5848360</v>
      </c>
      <c r="E221" s="95">
        <v>0</v>
      </c>
      <c r="F221" s="96">
        <v>0</v>
      </c>
      <c r="G221" s="96">
        <v>0.22470000000000001</v>
      </c>
    </row>
    <row r="222" spans="1:7">
      <c r="A222" s="93" t="s">
        <v>545</v>
      </c>
      <c r="B222" s="94" t="s">
        <v>546</v>
      </c>
      <c r="C222" s="95">
        <v>10</v>
      </c>
      <c r="D222" s="95">
        <v>110400</v>
      </c>
      <c r="E222" s="95">
        <v>0</v>
      </c>
      <c r="F222" s="96">
        <v>0</v>
      </c>
      <c r="G222" s="96">
        <v>0.29349999999999998</v>
      </c>
    </row>
    <row r="223" spans="1:7">
      <c r="A223" s="93" t="s">
        <v>74</v>
      </c>
      <c r="B223" s="94" t="s">
        <v>75</v>
      </c>
      <c r="C223" s="95">
        <v>158</v>
      </c>
      <c r="D223" s="95">
        <v>416310</v>
      </c>
      <c r="E223" s="95">
        <v>1749970</v>
      </c>
      <c r="F223" s="96">
        <v>-0.7621</v>
      </c>
      <c r="G223" s="96">
        <v>0.38600000000000001</v>
      </c>
    </row>
    <row r="224" spans="1:7">
      <c r="A224" s="93" t="s">
        <v>76</v>
      </c>
      <c r="B224" s="94" t="s">
        <v>77</v>
      </c>
      <c r="C224" s="95">
        <v>0</v>
      </c>
      <c r="D224" s="95">
        <v>0</v>
      </c>
      <c r="E224" s="95">
        <v>2616950</v>
      </c>
      <c r="F224" s="96">
        <v>0</v>
      </c>
      <c r="G224" s="96">
        <v>0</v>
      </c>
    </row>
    <row r="225" spans="1:7">
      <c r="A225" s="93" t="s">
        <v>547</v>
      </c>
      <c r="B225" s="94" t="s">
        <v>548</v>
      </c>
      <c r="C225" s="95">
        <v>336</v>
      </c>
      <c r="D225" s="95">
        <v>2170040</v>
      </c>
      <c r="E225" s="95">
        <v>0</v>
      </c>
      <c r="F225" s="96">
        <v>0</v>
      </c>
      <c r="G225" s="96">
        <v>0.38919999999999999</v>
      </c>
    </row>
    <row r="226" spans="1:7">
      <c r="A226" s="93" t="s">
        <v>549</v>
      </c>
      <c r="B226" s="94" t="s">
        <v>550</v>
      </c>
      <c r="C226" s="95">
        <v>0</v>
      </c>
      <c r="D226" s="95">
        <v>0</v>
      </c>
      <c r="E226" s="95">
        <v>3456400</v>
      </c>
      <c r="F226" s="96">
        <v>0</v>
      </c>
      <c r="G226" s="96">
        <v>0</v>
      </c>
    </row>
    <row r="227" spans="1:7">
      <c r="A227" s="93" t="s">
        <v>551</v>
      </c>
      <c r="B227" s="94" t="s">
        <v>552</v>
      </c>
      <c r="C227" s="95">
        <v>0</v>
      </c>
      <c r="D227" s="95">
        <v>0</v>
      </c>
      <c r="E227" s="95">
        <v>67320</v>
      </c>
      <c r="F227" s="96">
        <v>0</v>
      </c>
      <c r="G227" s="96">
        <v>0</v>
      </c>
    </row>
    <row r="228" spans="1:7">
      <c r="A228" s="93" t="s">
        <v>553</v>
      </c>
      <c r="B228" s="94" t="s">
        <v>554</v>
      </c>
      <c r="C228" s="95">
        <v>0</v>
      </c>
      <c r="D228" s="95">
        <v>0</v>
      </c>
      <c r="E228" s="95">
        <v>275920</v>
      </c>
      <c r="F228" s="96">
        <v>0</v>
      </c>
      <c r="G228" s="96">
        <v>0</v>
      </c>
    </row>
    <row r="229" spans="1:7">
      <c r="A229" s="93" t="s">
        <v>555</v>
      </c>
      <c r="B229" s="94" t="s">
        <v>556</v>
      </c>
      <c r="C229" s="95">
        <v>140</v>
      </c>
      <c r="D229" s="95">
        <v>343230</v>
      </c>
      <c r="E229" s="95">
        <v>990330</v>
      </c>
      <c r="F229" s="96">
        <v>-0.65339999999999998</v>
      </c>
      <c r="G229" s="96">
        <v>0.28620000000000001</v>
      </c>
    </row>
    <row r="230" spans="1:7">
      <c r="A230" s="93" t="s">
        <v>557</v>
      </c>
      <c r="B230" s="94" t="s">
        <v>558</v>
      </c>
      <c r="C230" s="95">
        <v>171</v>
      </c>
      <c r="D230" s="95">
        <v>487180</v>
      </c>
      <c r="E230" s="95">
        <v>434460</v>
      </c>
      <c r="F230" s="96">
        <v>0.12130000000000001</v>
      </c>
      <c r="G230" s="96">
        <v>0.28749999999999998</v>
      </c>
    </row>
    <row r="231" spans="1:7">
      <c r="A231" s="93" t="s">
        <v>559</v>
      </c>
      <c r="B231" s="94" t="s">
        <v>560</v>
      </c>
      <c r="C231" s="95">
        <v>0</v>
      </c>
      <c r="D231" s="95">
        <v>0</v>
      </c>
      <c r="E231" s="95">
        <v>404870</v>
      </c>
      <c r="F231" s="96">
        <v>0</v>
      </c>
      <c r="G231" s="96">
        <v>0</v>
      </c>
    </row>
    <row r="232" spans="1:7">
      <c r="A232" s="93" t="s">
        <v>561</v>
      </c>
      <c r="B232" s="94" t="s">
        <v>562</v>
      </c>
      <c r="C232" s="95">
        <v>0</v>
      </c>
      <c r="D232" s="95">
        <v>0</v>
      </c>
      <c r="E232" s="95">
        <v>2477340</v>
      </c>
      <c r="F232" s="96">
        <v>0</v>
      </c>
      <c r="G232" s="96">
        <v>0</v>
      </c>
    </row>
    <row r="233" spans="1:7">
      <c r="A233" s="93" t="s">
        <v>563</v>
      </c>
      <c r="B233" s="94" t="s">
        <v>564</v>
      </c>
      <c r="C233" s="95">
        <v>435</v>
      </c>
      <c r="D233" s="95">
        <v>6040310</v>
      </c>
      <c r="E233" s="95">
        <v>4613680</v>
      </c>
      <c r="F233" s="96">
        <v>0.30919999999999997</v>
      </c>
      <c r="G233" s="96">
        <v>0.23419999999999999</v>
      </c>
    </row>
    <row r="234" spans="1:7">
      <c r="A234" s="93" t="s">
        <v>565</v>
      </c>
      <c r="B234" s="94" t="s">
        <v>566</v>
      </c>
      <c r="C234" s="95">
        <v>5077</v>
      </c>
      <c r="D234" s="95">
        <v>15107750</v>
      </c>
      <c r="E234" s="95">
        <v>13246480</v>
      </c>
      <c r="F234" s="96">
        <v>0.14050000000000001</v>
      </c>
      <c r="G234" s="96">
        <v>0.39710000000000001</v>
      </c>
    </row>
    <row r="235" spans="1:7">
      <c r="A235" s="93" t="s">
        <v>567</v>
      </c>
      <c r="B235" s="94" t="s">
        <v>568</v>
      </c>
      <c r="C235" s="95">
        <v>3</v>
      </c>
      <c r="D235" s="95">
        <v>14700</v>
      </c>
      <c r="E235" s="95">
        <v>3800</v>
      </c>
      <c r="F235" s="96">
        <v>2.8683999999999998</v>
      </c>
      <c r="G235" s="96">
        <v>0.40139999999999998</v>
      </c>
    </row>
    <row r="236" spans="1:7">
      <c r="A236" s="93" t="s">
        <v>569</v>
      </c>
      <c r="B236" s="94" t="s">
        <v>570</v>
      </c>
      <c r="C236" s="95">
        <v>0</v>
      </c>
      <c r="D236" s="95">
        <v>0</v>
      </c>
      <c r="E236" s="95">
        <v>833940</v>
      </c>
      <c r="F236" s="96">
        <v>0</v>
      </c>
      <c r="G236" s="96">
        <v>0</v>
      </c>
    </row>
    <row r="237" spans="1:7">
      <c r="A237" s="93" t="s">
        <v>571</v>
      </c>
      <c r="B237" s="94" t="s">
        <v>572</v>
      </c>
      <c r="C237" s="95">
        <v>1</v>
      </c>
      <c r="D237" s="95">
        <v>15210</v>
      </c>
      <c r="E237" s="95">
        <v>0</v>
      </c>
      <c r="F237" s="96">
        <v>0</v>
      </c>
      <c r="G237" s="96">
        <v>0.27779999999999999</v>
      </c>
    </row>
    <row r="238" spans="1:7">
      <c r="A238" s="93" t="s">
        <v>573</v>
      </c>
      <c r="B238" s="94" t="s">
        <v>574</v>
      </c>
      <c r="C238" s="95">
        <v>454</v>
      </c>
      <c r="D238" s="95">
        <v>1776730</v>
      </c>
      <c r="E238" s="95">
        <v>2135550</v>
      </c>
      <c r="F238" s="96">
        <v>-0.16800000000000001</v>
      </c>
      <c r="G238" s="96">
        <v>0.3619</v>
      </c>
    </row>
    <row r="239" spans="1:7">
      <c r="A239" s="93" t="s">
        <v>575</v>
      </c>
      <c r="B239" s="94" t="s">
        <v>576</v>
      </c>
      <c r="C239" s="95">
        <v>231</v>
      </c>
      <c r="D239" s="95">
        <v>1660380</v>
      </c>
      <c r="E239" s="95">
        <v>1947730</v>
      </c>
      <c r="F239" s="96">
        <v>-0.14749999999999999</v>
      </c>
      <c r="G239" s="96">
        <v>0.44069999999999998</v>
      </c>
    </row>
    <row r="240" spans="1:7">
      <c r="A240" s="93" t="s">
        <v>577</v>
      </c>
      <c r="B240" s="94" t="s">
        <v>578</v>
      </c>
      <c r="C240" s="95">
        <v>3</v>
      </c>
      <c r="D240" s="95">
        <v>275410</v>
      </c>
      <c r="E240" s="95">
        <v>0</v>
      </c>
      <c r="F240" s="96">
        <v>0</v>
      </c>
      <c r="G240" s="96">
        <v>0.23910000000000001</v>
      </c>
    </row>
    <row r="241" spans="1:7">
      <c r="A241" s="93" t="s">
        <v>579</v>
      </c>
      <c r="B241" s="94" t="s">
        <v>580</v>
      </c>
      <c r="C241" s="95">
        <v>0</v>
      </c>
      <c r="D241" s="95">
        <v>0</v>
      </c>
      <c r="E241" s="95">
        <v>136590</v>
      </c>
      <c r="F241" s="96">
        <v>0</v>
      </c>
      <c r="G241" s="96">
        <v>0</v>
      </c>
    </row>
    <row r="242" spans="1:7">
      <c r="A242" s="93" t="s">
        <v>581</v>
      </c>
      <c r="B242" s="94" t="s">
        <v>582</v>
      </c>
      <c r="C242" s="95">
        <v>0</v>
      </c>
      <c r="D242" s="95">
        <v>0</v>
      </c>
      <c r="E242" s="95">
        <v>3270</v>
      </c>
      <c r="F242" s="96">
        <v>0</v>
      </c>
      <c r="G242" s="96">
        <v>0</v>
      </c>
    </row>
    <row r="243" spans="1:7">
      <c r="A243" s="93" t="s">
        <v>583</v>
      </c>
      <c r="B243" s="94" t="s">
        <v>584</v>
      </c>
      <c r="C243" s="95">
        <v>831</v>
      </c>
      <c r="D243" s="95">
        <v>4404020</v>
      </c>
      <c r="E243" s="95">
        <v>5057410</v>
      </c>
      <c r="F243" s="96">
        <v>-0.12920000000000001</v>
      </c>
      <c r="G243" s="96">
        <v>0.33200000000000002</v>
      </c>
    </row>
    <row r="244" spans="1:7">
      <c r="A244" s="93" t="s">
        <v>585</v>
      </c>
      <c r="B244" s="94" t="s">
        <v>586</v>
      </c>
      <c r="C244" s="95">
        <v>1988</v>
      </c>
      <c r="D244" s="95">
        <v>5179690</v>
      </c>
      <c r="E244" s="95">
        <v>6344080</v>
      </c>
      <c r="F244" s="96">
        <v>-0.1835</v>
      </c>
      <c r="G244" s="96">
        <v>0.43969999999999998</v>
      </c>
    </row>
    <row r="245" spans="1:7">
      <c r="A245" s="93" t="s">
        <v>587</v>
      </c>
      <c r="B245" s="94" t="s">
        <v>588</v>
      </c>
      <c r="C245" s="95">
        <v>107</v>
      </c>
      <c r="D245" s="95">
        <v>5518990</v>
      </c>
      <c r="E245" s="95">
        <v>3276700</v>
      </c>
      <c r="F245" s="96">
        <v>0.68430000000000002</v>
      </c>
      <c r="G245" s="96">
        <v>0.32119999999999999</v>
      </c>
    </row>
    <row r="246" spans="1:7">
      <c r="A246" s="93" t="s">
        <v>149</v>
      </c>
      <c r="B246" s="94" t="s">
        <v>589</v>
      </c>
      <c r="C246" s="95">
        <v>307</v>
      </c>
      <c r="D246" s="95">
        <v>2708810</v>
      </c>
      <c r="E246" s="95">
        <v>0</v>
      </c>
      <c r="F246" s="96">
        <v>0</v>
      </c>
      <c r="G246" s="96">
        <v>0.37709999999999999</v>
      </c>
    </row>
    <row r="247" spans="1:7">
      <c r="A247" s="93" t="s">
        <v>590</v>
      </c>
      <c r="B247" s="94" t="s">
        <v>591</v>
      </c>
      <c r="C247" s="95">
        <v>81</v>
      </c>
      <c r="D247" s="95">
        <v>3169020</v>
      </c>
      <c r="E247" s="95">
        <v>3805290</v>
      </c>
      <c r="F247" s="96">
        <v>-0.16719999999999999</v>
      </c>
      <c r="G247" s="96">
        <v>0.42359999999999998</v>
      </c>
    </row>
    <row r="248" spans="1:7">
      <c r="A248" s="93" t="s">
        <v>592</v>
      </c>
      <c r="B248" s="94" t="s">
        <v>593</v>
      </c>
      <c r="C248" s="95">
        <v>1</v>
      </c>
      <c r="D248" s="95">
        <v>30000</v>
      </c>
      <c r="E248" s="95">
        <v>128010</v>
      </c>
      <c r="F248" s="96">
        <v>-0.76559999999999995</v>
      </c>
      <c r="G248" s="96">
        <v>0.45</v>
      </c>
    </row>
    <row r="249" spans="1:7">
      <c r="A249" s="93" t="s">
        <v>594</v>
      </c>
      <c r="B249" s="94" t="s">
        <v>595</v>
      </c>
      <c r="C249" s="95">
        <v>41</v>
      </c>
      <c r="D249" s="95">
        <v>2030210</v>
      </c>
      <c r="E249" s="95">
        <v>2580480</v>
      </c>
      <c r="F249" s="96">
        <v>-0.2132</v>
      </c>
      <c r="G249" s="96">
        <v>0.42770000000000002</v>
      </c>
    </row>
    <row r="250" spans="1:7">
      <c r="A250" s="93" t="s">
        <v>596</v>
      </c>
      <c r="B250" s="94" t="s">
        <v>597</v>
      </c>
      <c r="C250" s="95">
        <v>43</v>
      </c>
      <c r="D250" s="95">
        <v>3058720</v>
      </c>
      <c r="E250" s="95">
        <v>3489350</v>
      </c>
      <c r="F250" s="96">
        <v>-0.1234</v>
      </c>
      <c r="G250" s="96">
        <v>0.40649999999999997</v>
      </c>
    </row>
    <row r="251" spans="1:7">
      <c r="A251" s="93" t="s">
        <v>598</v>
      </c>
      <c r="B251" s="94" t="s">
        <v>599</v>
      </c>
      <c r="C251" s="95">
        <v>161</v>
      </c>
      <c r="D251" s="95">
        <v>1080050</v>
      </c>
      <c r="E251" s="95">
        <v>1037770</v>
      </c>
      <c r="F251" s="96">
        <v>4.07E-2</v>
      </c>
      <c r="G251" s="96">
        <v>0.33929999999999999</v>
      </c>
    </row>
    <row r="252" spans="1:7">
      <c r="A252" s="93" t="s">
        <v>600</v>
      </c>
      <c r="B252" s="94" t="s">
        <v>601</v>
      </c>
      <c r="C252" s="95">
        <v>2</v>
      </c>
      <c r="D252" s="95">
        <v>49400</v>
      </c>
      <c r="E252" s="95">
        <v>0</v>
      </c>
      <c r="F252" s="96">
        <v>0</v>
      </c>
      <c r="G252" s="96">
        <v>0.31769999999999998</v>
      </c>
    </row>
    <row r="253" spans="1:7">
      <c r="A253" s="93" t="s">
        <v>602</v>
      </c>
      <c r="B253" s="94" t="s">
        <v>603</v>
      </c>
      <c r="C253" s="95">
        <v>3</v>
      </c>
      <c r="D253" s="95">
        <v>55940</v>
      </c>
      <c r="E253" s="95">
        <v>0</v>
      </c>
      <c r="F253" s="96">
        <v>0</v>
      </c>
      <c r="G253" s="96">
        <v>0.32950000000000002</v>
      </c>
    </row>
    <row r="254" spans="1:7">
      <c r="A254" s="93" t="s">
        <v>604</v>
      </c>
      <c r="B254" s="94" t="s">
        <v>605</v>
      </c>
      <c r="C254" s="95">
        <v>1</v>
      </c>
      <c r="D254" s="95">
        <v>25110</v>
      </c>
      <c r="E254" s="95">
        <v>0</v>
      </c>
      <c r="F254" s="96">
        <v>0</v>
      </c>
      <c r="G254" s="96">
        <v>0.27779999999999999</v>
      </c>
    </row>
    <row r="255" spans="1:7">
      <c r="A255" s="93" t="s">
        <v>606</v>
      </c>
      <c r="B255" s="94" t="s">
        <v>607</v>
      </c>
      <c r="C255" s="95">
        <v>17</v>
      </c>
      <c r="D255" s="95">
        <v>121330</v>
      </c>
      <c r="E255" s="95">
        <v>65120</v>
      </c>
      <c r="F255" s="96">
        <v>0.86319999999999997</v>
      </c>
      <c r="G255" s="96">
        <v>0.33939999999999998</v>
      </c>
    </row>
    <row r="256" spans="1:7">
      <c r="A256" s="93" t="s">
        <v>608</v>
      </c>
      <c r="B256" s="94" t="s">
        <v>609</v>
      </c>
      <c r="C256" s="95">
        <v>11</v>
      </c>
      <c r="D256" s="95">
        <v>338300</v>
      </c>
      <c r="E256" s="95">
        <v>0</v>
      </c>
      <c r="F256" s="96">
        <v>0</v>
      </c>
      <c r="G256" s="96">
        <v>0.30649999999999999</v>
      </c>
    </row>
    <row r="257" spans="1:7">
      <c r="A257" s="93" t="s">
        <v>610</v>
      </c>
      <c r="B257" s="94" t="s">
        <v>611</v>
      </c>
      <c r="C257" s="95">
        <v>11</v>
      </c>
      <c r="D257" s="95">
        <v>60820</v>
      </c>
      <c r="E257" s="95">
        <v>0</v>
      </c>
      <c r="F257" s="96">
        <v>0</v>
      </c>
      <c r="G257" s="96">
        <v>6.6600000000000006E-2</v>
      </c>
    </row>
    <row r="258" spans="1:7">
      <c r="A258" s="93" t="s">
        <v>612</v>
      </c>
      <c r="B258" s="94" t="s">
        <v>613</v>
      </c>
      <c r="C258" s="95">
        <v>6325</v>
      </c>
      <c r="D258" s="95">
        <v>34944970</v>
      </c>
      <c r="E258" s="95">
        <v>29485890</v>
      </c>
      <c r="F258" s="96">
        <v>0.18509999999999999</v>
      </c>
      <c r="G258" s="96">
        <v>0.28149999999999997</v>
      </c>
    </row>
    <row r="259" spans="1:7">
      <c r="A259" s="93" t="s">
        <v>614</v>
      </c>
      <c r="B259" s="94" t="s">
        <v>615</v>
      </c>
      <c r="C259" s="95">
        <v>130</v>
      </c>
      <c r="D259" s="95">
        <v>345120</v>
      </c>
      <c r="E259" s="95">
        <v>363150</v>
      </c>
      <c r="F259" s="96">
        <v>-4.9599999999999998E-2</v>
      </c>
      <c r="G259" s="96">
        <v>0.4466</v>
      </c>
    </row>
    <row r="260" spans="1:7">
      <c r="A260" s="93" t="s">
        <v>78</v>
      </c>
      <c r="B260" s="94" t="s">
        <v>79</v>
      </c>
      <c r="C260" s="95">
        <v>925</v>
      </c>
      <c r="D260" s="95">
        <v>6096510</v>
      </c>
      <c r="E260" s="95">
        <v>5236330</v>
      </c>
      <c r="F260" s="96">
        <v>0.1643</v>
      </c>
      <c r="G260" s="96">
        <v>0.3695</v>
      </c>
    </row>
    <row r="261" spans="1:7">
      <c r="A261" s="93" t="s">
        <v>616</v>
      </c>
      <c r="B261" s="94" t="s">
        <v>617</v>
      </c>
      <c r="C261" s="95">
        <v>6</v>
      </c>
      <c r="D261" s="95">
        <v>45570</v>
      </c>
      <c r="E261" s="95">
        <v>0</v>
      </c>
      <c r="F261" s="96">
        <v>0</v>
      </c>
      <c r="G261" s="96">
        <v>0.43909999999999999</v>
      </c>
    </row>
    <row r="262" spans="1:7">
      <c r="A262" s="93" t="s">
        <v>618</v>
      </c>
      <c r="B262" s="94" t="s">
        <v>619</v>
      </c>
      <c r="C262" s="95">
        <v>0</v>
      </c>
      <c r="D262" s="95">
        <v>0</v>
      </c>
      <c r="E262" s="95">
        <v>0</v>
      </c>
      <c r="F262" s="96">
        <v>0</v>
      </c>
      <c r="G262" s="96">
        <v>0</v>
      </c>
    </row>
    <row r="263" spans="1:7">
      <c r="A263" s="93" t="s">
        <v>620</v>
      </c>
      <c r="B263" s="94" t="s">
        <v>621</v>
      </c>
      <c r="C263" s="95">
        <v>329</v>
      </c>
      <c r="D263" s="95">
        <v>247180</v>
      </c>
      <c r="E263" s="95">
        <v>405600</v>
      </c>
      <c r="F263" s="96">
        <v>-0.3906</v>
      </c>
      <c r="G263" s="96">
        <v>0.42399999999999999</v>
      </c>
    </row>
    <row r="264" spans="1:7">
      <c r="A264" s="93" t="s">
        <v>622</v>
      </c>
      <c r="B264" s="94" t="s">
        <v>623</v>
      </c>
      <c r="C264" s="95">
        <v>0</v>
      </c>
      <c r="D264" s="95">
        <v>0</v>
      </c>
      <c r="E264" s="95">
        <v>60630</v>
      </c>
      <c r="F264" s="96">
        <v>0</v>
      </c>
      <c r="G264" s="96">
        <v>0</v>
      </c>
    </row>
    <row r="265" spans="1:7">
      <c r="A265" s="93" t="s">
        <v>624</v>
      </c>
      <c r="B265" s="94" t="s">
        <v>625</v>
      </c>
      <c r="C265" s="95">
        <v>0</v>
      </c>
      <c r="D265" s="95">
        <v>0</v>
      </c>
      <c r="E265" s="95">
        <v>3393720</v>
      </c>
      <c r="F265" s="96">
        <v>0</v>
      </c>
      <c r="G265" s="96">
        <v>0</v>
      </c>
    </row>
    <row r="266" spans="1:7">
      <c r="A266" s="93" t="s">
        <v>626</v>
      </c>
      <c r="B266" s="94" t="s">
        <v>627</v>
      </c>
      <c r="C266" s="95">
        <v>0</v>
      </c>
      <c r="D266" s="95">
        <v>0</v>
      </c>
      <c r="E266" s="95">
        <v>3835050</v>
      </c>
      <c r="F266" s="96">
        <v>0</v>
      </c>
      <c r="G266" s="96">
        <v>0</v>
      </c>
    </row>
    <row r="267" spans="1:7">
      <c r="A267" s="93" t="s">
        <v>628</v>
      </c>
      <c r="B267" s="94" t="s">
        <v>629</v>
      </c>
      <c r="C267" s="95">
        <v>0</v>
      </c>
      <c r="D267" s="95">
        <v>0</v>
      </c>
      <c r="E267" s="95">
        <v>13080</v>
      </c>
      <c r="F267" s="96">
        <v>0</v>
      </c>
      <c r="G267" s="96">
        <v>0</v>
      </c>
    </row>
    <row r="268" spans="1:7">
      <c r="A268" s="93" t="s">
        <v>630</v>
      </c>
      <c r="B268" s="94" t="s">
        <v>631</v>
      </c>
      <c r="C268" s="95">
        <v>3606</v>
      </c>
      <c r="D268" s="95">
        <v>9452070</v>
      </c>
      <c r="E268" s="95">
        <v>8890870</v>
      </c>
      <c r="F268" s="96">
        <v>6.3100000000000003E-2</v>
      </c>
      <c r="G268" s="96">
        <v>0.35799999999999998</v>
      </c>
    </row>
    <row r="269" spans="1:7">
      <c r="A269" s="93" t="s">
        <v>80</v>
      </c>
      <c r="B269" s="94" t="s">
        <v>81</v>
      </c>
      <c r="C269" s="95">
        <v>1298</v>
      </c>
      <c r="D269" s="95">
        <v>7085580</v>
      </c>
      <c r="E269" s="95">
        <v>3594230</v>
      </c>
      <c r="F269" s="96">
        <v>0.97140000000000004</v>
      </c>
      <c r="G269" s="96">
        <v>0.28610000000000002</v>
      </c>
    </row>
    <row r="270" spans="1:7">
      <c r="A270" s="93" t="s">
        <v>632</v>
      </c>
      <c r="B270" s="94" t="s">
        <v>633</v>
      </c>
      <c r="C270" s="95">
        <v>33</v>
      </c>
      <c r="D270" s="95">
        <v>284800</v>
      </c>
      <c r="E270" s="95">
        <v>87600</v>
      </c>
      <c r="F270" s="96">
        <v>2.2511000000000001</v>
      </c>
      <c r="G270" s="96">
        <v>0.4</v>
      </c>
    </row>
    <row r="271" spans="1:7">
      <c r="A271" s="93" t="s">
        <v>82</v>
      </c>
      <c r="B271" s="94" t="s">
        <v>634</v>
      </c>
      <c r="C271" s="95">
        <v>2258</v>
      </c>
      <c r="D271" s="95">
        <v>14034000</v>
      </c>
      <c r="E271" s="95">
        <v>9499610</v>
      </c>
      <c r="F271" s="96">
        <v>0.4773</v>
      </c>
      <c r="G271" s="96">
        <v>0.37690000000000001</v>
      </c>
    </row>
    <row r="272" spans="1:7">
      <c r="A272" s="93" t="s">
        <v>635</v>
      </c>
      <c r="B272" s="94" t="s">
        <v>636</v>
      </c>
      <c r="C272" s="95">
        <v>19</v>
      </c>
      <c r="D272" s="95">
        <v>1929000</v>
      </c>
      <c r="E272" s="95">
        <v>16664150</v>
      </c>
      <c r="F272" s="96">
        <v>-0.88419999999999999</v>
      </c>
      <c r="G272" s="96">
        <v>0.152</v>
      </c>
    </row>
    <row r="273" spans="1:7">
      <c r="A273" s="93" t="s">
        <v>637</v>
      </c>
      <c r="B273" s="94" t="s">
        <v>638</v>
      </c>
      <c r="C273" s="95">
        <v>54</v>
      </c>
      <c r="D273" s="95">
        <v>1926240</v>
      </c>
      <c r="E273" s="95">
        <v>3099010</v>
      </c>
      <c r="F273" s="96">
        <v>-0.37840000000000001</v>
      </c>
      <c r="G273" s="96">
        <v>0.32750000000000001</v>
      </c>
    </row>
    <row r="274" spans="1:7">
      <c r="A274" s="93" t="s">
        <v>639</v>
      </c>
      <c r="B274" s="94" t="s">
        <v>640</v>
      </c>
      <c r="C274" s="95">
        <v>10</v>
      </c>
      <c r="D274" s="95">
        <v>83680</v>
      </c>
      <c r="E274" s="95">
        <v>0</v>
      </c>
      <c r="F274" s="96">
        <v>0</v>
      </c>
      <c r="G274" s="96">
        <v>0.31019999999999998</v>
      </c>
    </row>
    <row r="275" spans="1:7">
      <c r="A275" s="93" t="s">
        <v>641</v>
      </c>
      <c r="B275" s="94" t="s">
        <v>642</v>
      </c>
      <c r="C275" s="95">
        <v>111</v>
      </c>
      <c r="D275" s="95">
        <v>1021850</v>
      </c>
      <c r="E275" s="95">
        <v>1232970</v>
      </c>
      <c r="F275" s="96">
        <v>-0.17119999999999999</v>
      </c>
      <c r="G275" s="96">
        <v>0.38669999999999999</v>
      </c>
    </row>
    <row r="276" spans="1:7">
      <c r="A276" s="93" t="s">
        <v>643</v>
      </c>
      <c r="B276" s="94" t="s">
        <v>644</v>
      </c>
      <c r="C276" s="95">
        <v>116</v>
      </c>
      <c r="D276" s="95">
        <v>3024800</v>
      </c>
      <c r="E276" s="95">
        <v>2820050</v>
      </c>
      <c r="F276" s="96">
        <v>7.2599999999999998E-2</v>
      </c>
      <c r="G276" s="96">
        <v>0.27060000000000001</v>
      </c>
    </row>
    <row r="277" spans="1:7">
      <c r="A277" s="93" t="s">
        <v>645</v>
      </c>
      <c r="B277" s="94" t="s">
        <v>646</v>
      </c>
      <c r="C277" s="95">
        <v>45</v>
      </c>
      <c r="D277" s="95">
        <v>212990</v>
      </c>
      <c r="E277" s="95">
        <v>299100</v>
      </c>
      <c r="F277" s="96">
        <v>-0.28789999999999999</v>
      </c>
      <c r="G277" s="96">
        <v>0.42049999999999998</v>
      </c>
    </row>
    <row r="278" spans="1:7">
      <c r="A278" s="93" t="s">
        <v>647</v>
      </c>
      <c r="B278" s="94" t="s">
        <v>648</v>
      </c>
      <c r="C278" s="95">
        <v>100</v>
      </c>
      <c r="D278" s="95">
        <v>2966350</v>
      </c>
      <c r="E278" s="95">
        <v>2980760</v>
      </c>
      <c r="F278" s="96">
        <v>-4.7999999999999996E-3</v>
      </c>
      <c r="G278" s="96">
        <v>0.42609999999999998</v>
      </c>
    </row>
    <row r="279" spans="1:7">
      <c r="A279" s="93" t="s">
        <v>649</v>
      </c>
      <c r="B279" s="94" t="s">
        <v>650</v>
      </c>
      <c r="C279" s="95">
        <v>7107</v>
      </c>
      <c r="D279" s="95">
        <v>24676590</v>
      </c>
      <c r="E279" s="95">
        <v>23399260</v>
      </c>
      <c r="F279" s="96">
        <v>5.4600000000000003E-2</v>
      </c>
      <c r="G279" s="96">
        <v>0.46300000000000002</v>
      </c>
    </row>
    <row r="280" spans="1:7">
      <c r="A280" s="93" t="s">
        <v>651</v>
      </c>
      <c r="B280" s="94" t="s">
        <v>652</v>
      </c>
      <c r="C280" s="95">
        <v>1189</v>
      </c>
      <c r="D280" s="95">
        <v>988500</v>
      </c>
      <c r="E280" s="95">
        <v>969180</v>
      </c>
      <c r="F280" s="96">
        <v>1.9900000000000001E-2</v>
      </c>
      <c r="G280" s="96">
        <v>0.48180000000000001</v>
      </c>
    </row>
    <row r="281" spans="1:7">
      <c r="A281" s="93" t="s">
        <v>653</v>
      </c>
      <c r="B281" s="94" t="s">
        <v>654</v>
      </c>
      <c r="C281" s="95">
        <v>143</v>
      </c>
      <c r="D281" s="95">
        <v>778190</v>
      </c>
      <c r="E281" s="95">
        <v>881840</v>
      </c>
      <c r="F281" s="96">
        <v>-0.11749999999999999</v>
      </c>
      <c r="G281" s="96">
        <v>0.43020000000000003</v>
      </c>
    </row>
    <row r="282" spans="1:7">
      <c r="A282" s="93" t="s">
        <v>655</v>
      </c>
      <c r="B282" s="94" t="s">
        <v>656</v>
      </c>
      <c r="C282" s="95">
        <v>13094</v>
      </c>
      <c r="D282" s="95">
        <v>56226900</v>
      </c>
      <c r="E282" s="95">
        <v>56727220</v>
      </c>
      <c r="F282" s="96">
        <v>-8.8000000000000005E-3</v>
      </c>
      <c r="G282" s="96">
        <v>0.23019999999999999</v>
      </c>
    </row>
    <row r="283" spans="1:7">
      <c r="A283" s="93" t="s">
        <v>657</v>
      </c>
      <c r="B283" s="94" t="s">
        <v>656</v>
      </c>
      <c r="C283" s="95">
        <v>33</v>
      </c>
      <c r="D283" s="95">
        <v>100300</v>
      </c>
      <c r="E283" s="95">
        <v>0</v>
      </c>
      <c r="F283" s="96">
        <v>0</v>
      </c>
      <c r="G283" s="96">
        <v>0.2455</v>
      </c>
    </row>
    <row r="284" spans="1:7">
      <c r="A284" s="93" t="s">
        <v>658</v>
      </c>
      <c r="B284" s="94" t="s">
        <v>659</v>
      </c>
      <c r="C284" s="95">
        <v>0</v>
      </c>
      <c r="D284" s="95">
        <v>0</v>
      </c>
      <c r="E284" s="95">
        <v>18000</v>
      </c>
      <c r="F284" s="96">
        <v>0</v>
      </c>
      <c r="G284" s="96">
        <v>0</v>
      </c>
    </row>
    <row r="285" spans="1:7">
      <c r="A285" s="93" t="s">
        <v>660</v>
      </c>
      <c r="B285" s="94" t="s">
        <v>661</v>
      </c>
      <c r="C285" s="95">
        <v>35</v>
      </c>
      <c r="D285" s="95">
        <v>101160</v>
      </c>
      <c r="E285" s="95">
        <v>427440</v>
      </c>
      <c r="F285" s="96">
        <v>-0.76329999999999998</v>
      </c>
      <c r="G285" s="96">
        <v>0.40899999999999997</v>
      </c>
    </row>
    <row r="286" spans="1:7">
      <c r="A286" s="93" t="s">
        <v>662</v>
      </c>
      <c r="B286" s="94" t="s">
        <v>663</v>
      </c>
      <c r="C286" s="95">
        <v>0</v>
      </c>
      <c r="D286" s="95">
        <v>0</v>
      </c>
      <c r="E286" s="95">
        <v>326000</v>
      </c>
      <c r="F286" s="96">
        <v>0</v>
      </c>
      <c r="G286" s="96">
        <v>0</v>
      </c>
    </row>
    <row r="287" spans="1:7">
      <c r="A287" s="93" t="s">
        <v>664</v>
      </c>
      <c r="B287" s="94" t="s">
        <v>665</v>
      </c>
      <c r="C287" s="95">
        <v>0</v>
      </c>
      <c r="D287" s="95">
        <v>0</v>
      </c>
      <c r="E287" s="95">
        <v>2618900</v>
      </c>
      <c r="F287" s="96">
        <v>0</v>
      </c>
      <c r="G287" s="96">
        <v>0</v>
      </c>
    </row>
    <row r="288" spans="1:7">
      <c r="A288" s="93" t="s">
        <v>84</v>
      </c>
      <c r="B288" s="94" t="s">
        <v>85</v>
      </c>
      <c r="C288" s="95">
        <v>607</v>
      </c>
      <c r="D288" s="95">
        <v>7266730</v>
      </c>
      <c r="E288" s="95">
        <v>9609960</v>
      </c>
      <c r="F288" s="96">
        <v>-0.24379999999999999</v>
      </c>
      <c r="G288" s="96">
        <v>0.39019999999999999</v>
      </c>
    </row>
    <row r="289" spans="1:7">
      <c r="A289" s="93" t="s">
        <v>17</v>
      </c>
      <c r="B289" s="94" t="s">
        <v>86</v>
      </c>
      <c r="C289" s="95">
        <v>490</v>
      </c>
      <c r="D289" s="95">
        <v>2183500</v>
      </c>
      <c r="E289" s="95">
        <v>2881650</v>
      </c>
      <c r="F289" s="96">
        <v>-0.24229999999999999</v>
      </c>
      <c r="G289" s="96">
        <v>0.39229999999999998</v>
      </c>
    </row>
    <row r="290" spans="1:7">
      <c r="A290" s="93" t="s">
        <v>666</v>
      </c>
      <c r="B290" s="94" t="s">
        <v>667</v>
      </c>
      <c r="C290" s="95">
        <v>1</v>
      </c>
      <c r="D290" s="95">
        <v>2400</v>
      </c>
      <c r="E290" s="95">
        <v>4800</v>
      </c>
      <c r="F290" s="96">
        <v>-0.5</v>
      </c>
      <c r="G290" s="96">
        <v>0.23130000000000001</v>
      </c>
    </row>
    <row r="291" spans="1:7">
      <c r="A291" s="93" t="s">
        <v>668</v>
      </c>
      <c r="B291" s="94" t="s">
        <v>669</v>
      </c>
      <c r="C291" s="95">
        <v>0</v>
      </c>
      <c r="D291" s="95">
        <v>0</v>
      </c>
      <c r="E291" s="95">
        <v>244480</v>
      </c>
      <c r="F291" s="96">
        <v>0</v>
      </c>
      <c r="G291" s="96">
        <v>0</v>
      </c>
    </row>
    <row r="292" spans="1:7">
      <c r="A292" s="93" t="s">
        <v>670</v>
      </c>
      <c r="B292" s="94" t="s">
        <v>671</v>
      </c>
      <c r="C292" s="95">
        <v>149</v>
      </c>
      <c r="D292" s="95">
        <v>31602700</v>
      </c>
      <c r="E292" s="95">
        <v>27266180</v>
      </c>
      <c r="F292" s="96">
        <v>0.159</v>
      </c>
      <c r="G292" s="96">
        <v>0.22450000000000001</v>
      </c>
    </row>
    <row r="293" spans="1:7">
      <c r="A293" s="93" t="s">
        <v>672</v>
      </c>
      <c r="B293" s="94" t="s">
        <v>673</v>
      </c>
      <c r="C293" s="95">
        <v>64</v>
      </c>
      <c r="D293" s="95">
        <v>647500</v>
      </c>
      <c r="E293" s="95">
        <v>0</v>
      </c>
      <c r="F293" s="96">
        <v>0</v>
      </c>
      <c r="G293" s="96">
        <v>0.18709999999999999</v>
      </c>
    </row>
    <row r="294" spans="1:7">
      <c r="A294" s="93" t="s">
        <v>674</v>
      </c>
      <c r="B294" s="94" t="s">
        <v>675</v>
      </c>
      <c r="C294" s="95">
        <v>446</v>
      </c>
      <c r="D294" s="95">
        <v>2913680</v>
      </c>
      <c r="E294" s="95">
        <v>0</v>
      </c>
      <c r="F294" s="96">
        <v>0</v>
      </c>
      <c r="G294" s="96">
        <v>0.36840000000000001</v>
      </c>
    </row>
    <row r="295" spans="1:7">
      <c r="A295" s="93" t="s">
        <v>676</v>
      </c>
      <c r="B295" s="94" t="s">
        <v>677</v>
      </c>
      <c r="C295" s="95">
        <v>148</v>
      </c>
      <c r="D295" s="95">
        <v>514190</v>
      </c>
      <c r="E295" s="95">
        <v>713680</v>
      </c>
      <c r="F295" s="96">
        <v>-0.27950000000000003</v>
      </c>
      <c r="G295" s="96">
        <v>0.46150000000000002</v>
      </c>
    </row>
    <row r="296" spans="1:7">
      <c r="A296" s="93" t="s">
        <v>678</v>
      </c>
      <c r="B296" s="94" t="s">
        <v>679</v>
      </c>
      <c r="C296" s="95">
        <v>406</v>
      </c>
      <c r="D296" s="95">
        <v>3395140</v>
      </c>
      <c r="E296" s="95">
        <v>3913230</v>
      </c>
      <c r="F296" s="96">
        <v>-0.13239999999999999</v>
      </c>
      <c r="G296" s="96">
        <v>0.15379999999999999</v>
      </c>
    </row>
    <row r="297" spans="1:7">
      <c r="A297" s="93" t="s">
        <v>680</v>
      </c>
      <c r="B297" s="94" t="s">
        <v>681</v>
      </c>
      <c r="C297" s="95">
        <v>835</v>
      </c>
      <c r="D297" s="95">
        <v>59905630</v>
      </c>
      <c r="E297" s="95">
        <v>87176880</v>
      </c>
      <c r="F297" s="96">
        <v>-0.31280000000000002</v>
      </c>
      <c r="G297" s="96">
        <v>0.1104</v>
      </c>
    </row>
    <row r="298" spans="1:7">
      <c r="A298" s="93" t="s">
        <v>682</v>
      </c>
      <c r="B298" s="94" t="s">
        <v>683</v>
      </c>
      <c r="C298" s="95">
        <v>63</v>
      </c>
      <c r="D298" s="95">
        <v>2106690</v>
      </c>
      <c r="E298" s="95">
        <v>0</v>
      </c>
      <c r="F298" s="96">
        <v>0</v>
      </c>
      <c r="G298" s="96">
        <v>0.27679999999999999</v>
      </c>
    </row>
    <row r="299" spans="1:7">
      <c r="A299" s="93" t="s">
        <v>684</v>
      </c>
      <c r="B299" s="94" t="s">
        <v>685</v>
      </c>
      <c r="C299" s="95">
        <v>0</v>
      </c>
      <c r="D299" s="95">
        <v>0</v>
      </c>
      <c r="E299" s="95">
        <v>38000</v>
      </c>
      <c r="F299" s="96">
        <v>0</v>
      </c>
      <c r="G299" s="96">
        <v>0</v>
      </c>
    </row>
    <row r="300" spans="1:7">
      <c r="A300" s="93" t="s">
        <v>686</v>
      </c>
      <c r="B300" s="94" t="s">
        <v>687</v>
      </c>
      <c r="C300" s="95">
        <v>114</v>
      </c>
      <c r="D300" s="95">
        <v>1406150</v>
      </c>
      <c r="E300" s="95">
        <v>13423500</v>
      </c>
      <c r="F300" s="96">
        <v>-0.8952</v>
      </c>
      <c r="G300" s="96">
        <v>0.31769999999999998</v>
      </c>
    </row>
    <row r="301" spans="1:7">
      <c r="A301" s="93" t="s">
        <v>688</v>
      </c>
      <c r="B301" s="94" t="s">
        <v>689</v>
      </c>
      <c r="C301" s="95">
        <v>612</v>
      </c>
      <c r="D301" s="95">
        <v>21116230</v>
      </c>
      <c r="E301" s="95">
        <v>33520270</v>
      </c>
      <c r="F301" s="96">
        <v>-0.37</v>
      </c>
      <c r="G301" s="96">
        <v>0.31480000000000002</v>
      </c>
    </row>
    <row r="302" spans="1:7">
      <c r="A302" s="93" t="s">
        <v>131</v>
      </c>
      <c r="B302" s="94" t="s">
        <v>690</v>
      </c>
      <c r="C302" s="95">
        <v>225</v>
      </c>
      <c r="D302" s="95">
        <v>2948450</v>
      </c>
      <c r="E302" s="95">
        <v>1211630</v>
      </c>
      <c r="F302" s="96">
        <v>1.4335</v>
      </c>
      <c r="G302" s="96">
        <v>0.39119999999999999</v>
      </c>
    </row>
    <row r="303" spans="1:7">
      <c r="A303" s="93" t="s">
        <v>691</v>
      </c>
      <c r="B303" s="94" t="s">
        <v>692</v>
      </c>
      <c r="C303" s="95">
        <v>0</v>
      </c>
      <c r="D303" s="95">
        <v>0</v>
      </c>
      <c r="E303" s="95">
        <v>-10000</v>
      </c>
      <c r="F303" s="96">
        <v>0</v>
      </c>
      <c r="G303" s="96">
        <v>0</v>
      </c>
    </row>
    <row r="304" spans="1:7">
      <c r="A304" s="93" t="s">
        <v>693</v>
      </c>
      <c r="B304" s="94" t="s">
        <v>694</v>
      </c>
      <c r="C304" s="95">
        <v>137</v>
      </c>
      <c r="D304" s="95">
        <v>13690</v>
      </c>
      <c r="E304" s="95">
        <v>15200</v>
      </c>
      <c r="F304" s="96">
        <v>-9.9299999999999999E-2</v>
      </c>
      <c r="G304" s="96">
        <v>0</v>
      </c>
    </row>
    <row r="305" spans="1:7">
      <c r="A305" s="93" t="s">
        <v>695</v>
      </c>
      <c r="B305" s="94" t="s">
        <v>696</v>
      </c>
      <c r="C305" s="95">
        <v>2965</v>
      </c>
      <c r="D305" s="95">
        <v>50903650</v>
      </c>
      <c r="E305" s="95">
        <v>35006280</v>
      </c>
      <c r="F305" s="96">
        <v>0.4541</v>
      </c>
      <c r="G305" s="96">
        <v>0.23899999999999999</v>
      </c>
    </row>
    <row r="306" spans="1:7">
      <c r="A306" s="93" t="s">
        <v>697</v>
      </c>
      <c r="B306" s="94" t="s">
        <v>698</v>
      </c>
      <c r="C306" s="95">
        <v>896</v>
      </c>
      <c r="D306" s="95">
        <v>6672000</v>
      </c>
      <c r="E306" s="95">
        <v>52240</v>
      </c>
      <c r="F306" s="96">
        <v>126.7182</v>
      </c>
      <c r="G306" s="96">
        <v>0.1439</v>
      </c>
    </row>
    <row r="307" spans="1:7">
      <c r="A307" s="93" t="s">
        <v>699</v>
      </c>
      <c r="B307" s="94" t="s">
        <v>700</v>
      </c>
      <c r="C307" s="95">
        <v>91</v>
      </c>
      <c r="D307" s="95">
        <v>470190</v>
      </c>
      <c r="E307" s="95">
        <v>392040</v>
      </c>
      <c r="F307" s="96">
        <v>0.1993</v>
      </c>
      <c r="G307" s="96">
        <v>0.41499999999999998</v>
      </c>
    </row>
    <row r="308" spans="1:7">
      <c r="A308" s="93" t="s">
        <v>701</v>
      </c>
      <c r="B308" s="94" t="s">
        <v>702</v>
      </c>
      <c r="C308" s="95">
        <v>50</v>
      </c>
      <c r="D308" s="95">
        <v>2843070</v>
      </c>
      <c r="E308" s="95">
        <v>924280</v>
      </c>
      <c r="F308" s="96">
        <v>2.0760000000000001</v>
      </c>
      <c r="G308" s="96">
        <v>0.31259999999999999</v>
      </c>
    </row>
    <row r="309" spans="1:7">
      <c r="A309" s="93" t="s">
        <v>703</v>
      </c>
      <c r="B309" s="94" t="s">
        <v>704</v>
      </c>
      <c r="C309" s="95">
        <v>124</v>
      </c>
      <c r="D309" s="95">
        <v>1683900</v>
      </c>
      <c r="E309" s="95">
        <v>0</v>
      </c>
      <c r="F309" s="96">
        <v>0</v>
      </c>
      <c r="G309" s="96">
        <v>0.36109999999999998</v>
      </c>
    </row>
    <row r="310" spans="1:7">
      <c r="A310" s="93" t="s">
        <v>87</v>
      </c>
      <c r="B310" s="94" t="s">
        <v>88</v>
      </c>
      <c r="C310" s="95">
        <v>803</v>
      </c>
      <c r="D310" s="95">
        <v>3913120</v>
      </c>
      <c r="E310" s="95">
        <v>5692470</v>
      </c>
      <c r="F310" s="96">
        <v>-0.31259999999999999</v>
      </c>
      <c r="G310" s="96">
        <v>0.37319999999999998</v>
      </c>
    </row>
    <row r="311" spans="1:7">
      <c r="A311" s="93" t="s">
        <v>705</v>
      </c>
      <c r="B311" s="94" t="s">
        <v>706</v>
      </c>
      <c r="C311" s="95">
        <v>0</v>
      </c>
      <c r="D311" s="95">
        <v>0</v>
      </c>
      <c r="E311" s="95">
        <v>1067200</v>
      </c>
      <c r="F311" s="96">
        <v>0</v>
      </c>
      <c r="G311" s="96">
        <v>0</v>
      </c>
    </row>
    <row r="312" spans="1:7">
      <c r="A312" s="93" t="s">
        <v>707</v>
      </c>
      <c r="B312" s="94" t="s">
        <v>708</v>
      </c>
      <c r="C312" s="95">
        <v>8</v>
      </c>
      <c r="D312" s="95">
        <v>102860</v>
      </c>
      <c r="E312" s="95">
        <v>0</v>
      </c>
      <c r="F312" s="96">
        <v>0</v>
      </c>
      <c r="G312" s="96">
        <v>0.35870000000000002</v>
      </c>
    </row>
    <row r="313" spans="1:7">
      <c r="A313" s="93" t="s">
        <v>709</v>
      </c>
      <c r="B313" s="94" t="s">
        <v>710</v>
      </c>
      <c r="C313" s="95">
        <v>323</v>
      </c>
      <c r="D313" s="95">
        <v>692460</v>
      </c>
      <c r="E313" s="95">
        <v>0</v>
      </c>
      <c r="F313" s="96">
        <v>0</v>
      </c>
      <c r="G313" s="96">
        <v>0.31109999999999999</v>
      </c>
    </row>
    <row r="314" spans="1:7">
      <c r="A314" s="93" t="s">
        <v>711</v>
      </c>
      <c r="B314" s="94" t="s">
        <v>712</v>
      </c>
      <c r="C314" s="95">
        <v>0</v>
      </c>
      <c r="D314" s="95">
        <v>0</v>
      </c>
      <c r="E314" s="95">
        <v>201230</v>
      </c>
      <c r="F314" s="96">
        <v>0</v>
      </c>
      <c r="G314" s="96">
        <v>0</v>
      </c>
    </row>
    <row r="315" spans="1:7">
      <c r="A315" s="93" t="s">
        <v>713</v>
      </c>
      <c r="B315" s="94" t="s">
        <v>714</v>
      </c>
      <c r="C315" s="95">
        <v>806</v>
      </c>
      <c r="D315" s="95">
        <v>2550180</v>
      </c>
      <c r="E315" s="95">
        <v>7003620</v>
      </c>
      <c r="F315" s="96">
        <v>-0.63590000000000002</v>
      </c>
      <c r="G315" s="96">
        <v>0.38269999999999998</v>
      </c>
    </row>
    <row r="316" spans="1:7">
      <c r="A316" s="93" t="s">
        <v>89</v>
      </c>
      <c r="B316" s="94" t="s">
        <v>90</v>
      </c>
      <c r="C316" s="95">
        <v>625</v>
      </c>
      <c r="D316" s="95">
        <v>8973320</v>
      </c>
      <c r="E316" s="95">
        <v>6056570</v>
      </c>
      <c r="F316" s="96">
        <v>0.48159999999999997</v>
      </c>
      <c r="G316" s="96">
        <v>0.23350000000000001</v>
      </c>
    </row>
    <row r="317" spans="1:7">
      <c r="A317" s="93" t="s">
        <v>715</v>
      </c>
      <c r="B317" s="94" t="s">
        <v>716</v>
      </c>
      <c r="C317" s="95">
        <v>0</v>
      </c>
      <c r="D317" s="95">
        <v>0</v>
      </c>
      <c r="E317" s="95">
        <v>4366320</v>
      </c>
      <c r="F317" s="96">
        <v>0</v>
      </c>
      <c r="G317" s="96">
        <v>0</v>
      </c>
    </row>
    <row r="318" spans="1:7">
      <c r="A318" s="93" t="s">
        <v>717</v>
      </c>
      <c r="B318" s="94" t="s">
        <v>718</v>
      </c>
      <c r="C318" s="95">
        <v>167</v>
      </c>
      <c r="D318" s="95">
        <v>1089520</v>
      </c>
      <c r="E318" s="95">
        <v>1196210</v>
      </c>
      <c r="F318" s="96">
        <v>-8.9200000000000002E-2</v>
      </c>
      <c r="G318" s="96">
        <v>0.37430000000000002</v>
      </c>
    </row>
    <row r="319" spans="1:7">
      <c r="A319" s="93" t="s">
        <v>719</v>
      </c>
      <c r="B319" s="94" t="s">
        <v>720</v>
      </c>
      <c r="C319" s="95">
        <v>15</v>
      </c>
      <c r="D319" s="95">
        <v>280000</v>
      </c>
      <c r="E319" s="95">
        <v>488500</v>
      </c>
      <c r="F319" s="96">
        <v>-0.42680000000000001</v>
      </c>
      <c r="G319" s="96">
        <v>0.33139999999999997</v>
      </c>
    </row>
    <row r="320" spans="1:7">
      <c r="A320" s="93" t="s">
        <v>721</v>
      </c>
      <c r="B320" s="94" t="s">
        <v>722</v>
      </c>
      <c r="C320" s="95">
        <v>161</v>
      </c>
      <c r="D320" s="95">
        <v>760040</v>
      </c>
      <c r="E320" s="95">
        <v>0</v>
      </c>
      <c r="F320" s="96">
        <v>0</v>
      </c>
      <c r="G320" s="96">
        <v>0.29709999999999998</v>
      </c>
    </row>
    <row r="321" spans="1:7">
      <c r="A321" s="93" t="s">
        <v>723</v>
      </c>
      <c r="B321" s="94" t="s">
        <v>724</v>
      </c>
      <c r="C321" s="95">
        <v>1711</v>
      </c>
      <c r="D321" s="95">
        <v>49701240</v>
      </c>
      <c r="E321" s="95">
        <v>28754390</v>
      </c>
      <c r="F321" s="96">
        <v>0.72850000000000004</v>
      </c>
      <c r="G321" s="96">
        <v>0.1888</v>
      </c>
    </row>
    <row r="322" spans="1:7">
      <c r="A322" s="93" t="s">
        <v>725</v>
      </c>
      <c r="B322" s="94" t="s">
        <v>726</v>
      </c>
      <c r="C322" s="95">
        <v>699</v>
      </c>
      <c r="D322" s="95">
        <v>24358540</v>
      </c>
      <c r="E322" s="95">
        <v>17716850</v>
      </c>
      <c r="F322" s="96">
        <v>0.37490000000000001</v>
      </c>
      <c r="G322" s="96">
        <v>0.30070000000000002</v>
      </c>
    </row>
    <row r="323" spans="1:7">
      <c r="A323" s="93" t="s">
        <v>727</v>
      </c>
      <c r="B323" s="94" t="s">
        <v>728</v>
      </c>
      <c r="C323" s="95">
        <v>22</v>
      </c>
      <c r="D323" s="95">
        <v>858000</v>
      </c>
      <c r="E323" s="95">
        <v>1233650</v>
      </c>
      <c r="F323" s="96">
        <v>-0.30449999999999999</v>
      </c>
      <c r="G323" s="96">
        <v>0.2316</v>
      </c>
    </row>
    <row r="324" spans="1:7">
      <c r="A324" s="93" t="s">
        <v>729</v>
      </c>
      <c r="B324" s="94" t="s">
        <v>730</v>
      </c>
      <c r="C324" s="95">
        <v>8</v>
      </c>
      <c r="D324" s="95">
        <v>177100</v>
      </c>
      <c r="E324" s="95">
        <v>643540</v>
      </c>
      <c r="F324" s="96">
        <v>-0.7248</v>
      </c>
      <c r="G324" s="96">
        <v>0.29349999999999998</v>
      </c>
    </row>
    <row r="325" spans="1:7">
      <c r="A325" s="93" t="s">
        <v>731</v>
      </c>
      <c r="B325" s="94" t="s">
        <v>732</v>
      </c>
      <c r="C325" s="95">
        <v>30</v>
      </c>
      <c r="D325" s="95">
        <v>628390</v>
      </c>
      <c r="E325" s="95">
        <v>0</v>
      </c>
      <c r="F325" s="96">
        <v>0</v>
      </c>
      <c r="G325" s="96">
        <v>0.28739999999999999</v>
      </c>
    </row>
    <row r="326" spans="1:7">
      <c r="A326" s="93" t="s">
        <v>733</v>
      </c>
      <c r="B326" s="94" t="s">
        <v>734</v>
      </c>
      <c r="C326" s="95">
        <v>0</v>
      </c>
      <c r="D326" s="95">
        <v>0</v>
      </c>
      <c r="E326" s="95">
        <v>508900</v>
      </c>
      <c r="F326" s="96">
        <v>0</v>
      </c>
      <c r="G326" s="96">
        <v>0</v>
      </c>
    </row>
    <row r="327" spans="1:7">
      <c r="A327" s="93" t="s">
        <v>735</v>
      </c>
      <c r="B327" s="94" t="s">
        <v>736</v>
      </c>
      <c r="C327" s="95">
        <v>20</v>
      </c>
      <c r="D327" s="95">
        <v>1083340</v>
      </c>
      <c r="E327" s="95">
        <v>0</v>
      </c>
      <c r="F327" s="96">
        <v>0</v>
      </c>
      <c r="G327" s="96">
        <v>0.27460000000000001</v>
      </c>
    </row>
    <row r="328" spans="1:7">
      <c r="A328" s="93" t="s">
        <v>737</v>
      </c>
      <c r="B328" s="94" t="s">
        <v>738</v>
      </c>
      <c r="C328" s="95">
        <v>0</v>
      </c>
      <c r="D328" s="95">
        <v>0</v>
      </c>
      <c r="E328" s="95">
        <v>797520</v>
      </c>
      <c r="F328" s="96">
        <v>0</v>
      </c>
      <c r="G328" s="96">
        <v>0</v>
      </c>
    </row>
    <row r="329" spans="1:7">
      <c r="A329" s="93" t="s">
        <v>739</v>
      </c>
      <c r="B329" s="94" t="s">
        <v>740</v>
      </c>
      <c r="C329" s="95">
        <v>249</v>
      </c>
      <c r="D329" s="95">
        <v>4280880</v>
      </c>
      <c r="E329" s="95">
        <v>0</v>
      </c>
      <c r="F329" s="96">
        <v>0</v>
      </c>
      <c r="G329" s="96">
        <v>0.2848</v>
      </c>
    </row>
    <row r="330" spans="1:7">
      <c r="A330" s="93" t="s">
        <v>741</v>
      </c>
      <c r="B330" s="94" t="s">
        <v>742</v>
      </c>
      <c r="C330" s="95">
        <v>0</v>
      </c>
      <c r="D330" s="95">
        <v>0</v>
      </c>
      <c r="E330" s="95">
        <v>1703300</v>
      </c>
      <c r="F330" s="96">
        <v>0</v>
      </c>
      <c r="G330" s="96">
        <v>0</v>
      </c>
    </row>
    <row r="331" spans="1:7">
      <c r="A331" s="93" t="s">
        <v>743</v>
      </c>
      <c r="B331" s="94" t="s">
        <v>744</v>
      </c>
      <c r="C331" s="95">
        <v>450</v>
      </c>
      <c r="D331" s="95">
        <v>4371020</v>
      </c>
      <c r="E331" s="95">
        <v>5384870</v>
      </c>
      <c r="F331" s="96">
        <v>-0.1883</v>
      </c>
      <c r="G331" s="96">
        <v>0.46779999999999999</v>
      </c>
    </row>
    <row r="332" spans="1:7">
      <c r="A332" s="93" t="s">
        <v>745</v>
      </c>
      <c r="B332" s="94" t="s">
        <v>746</v>
      </c>
      <c r="C332" s="95">
        <v>13</v>
      </c>
      <c r="D332" s="95">
        <v>270200</v>
      </c>
      <c r="E332" s="95">
        <v>0</v>
      </c>
      <c r="F332" s="96">
        <v>0</v>
      </c>
      <c r="G332" s="96">
        <v>0.3216</v>
      </c>
    </row>
    <row r="333" spans="1:7">
      <c r="A333" s="93" t="s">
        <v>747</v>
      </c>
      <c r="B333" s="94" t="s">
        <v>748</v>
      </c>
      <c r="C333" s="95">
        <v>0</v>
      </c>
      <c r="D333" s="95">
        <v>0</v>
      </c>
      <c r="E333" s="95">
        <v>83630</v>
      </c>
      <c r="F333" s="96">
        <v>0</v>
      </c>
      <c r="G333" s="96">
        <v>0</v>
      </c>
    </row>
    <row r="334" spans="1:7">
      <c r="A334" s="93" t="s">
        <v>749</v>
      </c>
      <c r="B334" s="94" t="s">
        <v>750</v>
      </c>
      <c r="C334" s="95">
        <v>0</v>
      </c>
      <c r="D334" s="95">
        <v>0</v>
      </c>
      <c r="E334" s="95">
        <v>5493250</v>
      </c>
      <c r="F334" s="96">
        <v>0</v>
      </c>
      <c r="G334" s="96">
        <v>0</v>
      </c>
    </row>
    <row r="335" spans="1:7">
      <c r="A335" s="93" t="s">
        <v>751</v>
      </c>
      <c r="B335" s="94" t="s">
        <v>752</v>
      </c>
      <c r="C335" s="95">
        <v>133</v>
      </c>
      <c r="D335" s="95">
        <v>284940</v>
      </c>
      <c r="E335" s="95">
        <v>0</v>
      </c>
      <c r="F335" s="96">
        <v>0</v>
      </c>
      <c r="G335" s="96">
        <v>0.37359999999999999</v>
      </c>
    </row>
    <row r="336" spans="1:7">
      <c r="A336" s="93" t="s">
        <v>133</v>
      </c>
      <c r="B336" s="94" t="s">
        <v>134</v>
      </c>
      <c r="C336" s="95">
        <v>255</v>
      </c>
      <c r="D336" s="95">
        <v>2547060</v>
      </c>
      <c r="E336" s="95">
        <v>1547480</v>
      </c>
      <c r="F336" s="96">
        <v>0.64590000000000003</v>
      </c>
      <c r="G336" s="96">
        <v>0.26800000000000002</v>
      </c>
    </row>
    <row r="337" spans="1:7">
      <c r="A337" s="93" t="s">
        <v>753</v>
      </c>
      <c r="B337" s="94" t="s">
        <v>754</v>
      </c>
      <c r="C337" s="95">
        <v>1</v>
      </c>
      <c r="D337" s="95">
        <v>10010300</v>
      </c>
      <c r="E337" s="95">
        <v>122700</v>
      </c>
      <c r="F337" s="96">
        <v>80.583500000000001</v>
      </c>
      <c r="G337" s="96">
        <v>0.25</v>
      </c>
    </row>
    <row r="338" spans="1:7">
      <c r="A338" s="93" t="s">
        <v>755</v>
      </c>
      <c r="B338" s="94" t="s">
        <v>756</v>
      </c>
      <c r="C338" s="95">
        <v>54</v>
      </c>
      <c r="D338" s="95">
        <v>280300</v>
      </c>
      <c r="E338" s="95">
        <v>465840</v>
      </c>
      <c r="F338" s="96">
        <v>-0.39829999999999999</v>
      </c>
      <c r="G338" s="96">
        <v>0.31890000000000002</v>
      </c>
    </row>
    <row r="339" spans="1:7">
      <c r="A339" s="93" t="s">
        <v>757</v>
      </c>
      <c r="B339" s="94" t="s">
        <v>758</v>
      </c>
      <c r="C339" s="95">
        <v>800</v>
      </c>
      <c r="D339" s="95">
        <v>6566980</v>
      </c>
      <c r="E339" s="95">
        <v>4205520</v>
      </c>
      <c r="F339" s="96">
        <v>0.5615</v>
      </c>
      <c r="G339" s="96">
        <v>0.47499999999999998</v>
      </c>
    </row>
    <row r="340" spans="1:7">
      <c r="A340" s="93" t="s">
        <v>759</v>
      </c>
      <c r="B340" s="94" t="s">
        <v>760</v>
      </c>
      <c r="C340" s="95">
        <v>5</v>
      </c>
      <c r="D340" s="95">
        <v>99710</v>
      </c>
      <c r="E340" s="95">
        <v>354520</v>
      </c>
      <c r="F340" s="96">
        <v>-0.71870000000000001</v>
      </c>
      <c r="G340" s="96">
        <v>0.35870000000000002</v>
      </c>
    </row>
    <row r="341" spans="1:7">
      <c r="A341" s="93" t="s">
        <v>761</v>
      </c>
      <c r="B341" s="94" t="s">
        <v>762</v>
      </c>
      <c r="C341" s="95">
        <v>53</v>
      </c>
      <c r="D341" s="95">
        <v>2134630</v>
      </c>
      <c r="E341" s="95">
        <v>6418080</v>
      </c>
      <c r="F341" s="96">
        <v>-0.66739999999999999</v>
      </c>
      <c r="G341" s="96">
        <v>0.41980000000000001</v>
      </c>
    </row>
    <row r="342" spans="1:7">
      <c r="A342" s="93" t="s">
        <v>763</v>
      </c>
      <c r="B342" s="94" t="s">
        <v>764</v>
      </c>
      <c r="C342" s="95">
        <v>8</v>
      </c>
      <c r="D342" s="95">
        <v>992000</v>
      </c>
      <c r="E342" s="95">
        <v>164400</v>
      </c>
      <c r="F342" s="96">
        <v>5.0340999999999996</v>
      </c>
      <c r="G342" s="96">
        <v>0.38790000000000002</v>
      </c>
    </row>
    <row r="343" spans="1:7">
      <c r="A343" s="93" t="s">
        <v>765</v>
      </c>
      <c r="B343" s="94" t="s">
        <v>766</v>
      </c>
      <c r="C343" s="95">
        <v>0</v>
      </c>
      <c r="D343" s="95">
        <v>0</v>
      </c>
      <c r="E343" s="95">
        <v>1689940</v>
      </c>
      <c r="F343" s="96">
        <v>0</v>
      </c>
      <c r="G343" s="96">
        <v>0</v>
      </c>
    </row>
    <row r="344" spans="1:7">
      <c r="A344" s="93" t="s">
        <v>767</v>
      </c>
      <c r="B344" s="94" t="s">
        <v>768</v>
      </c>
      <c r="C344" s="95">
        <v>4376</v>
      </c>
      <c r="D344" s="95">
        <v>13165170</v>
      </c>
      <c r="E344" s="95">
        <v>8957510</v>
      </c>
      <c r="F344" s="96">
        <v>0.46970000000000001</v>
      </c>
      <c r="G344" s="96">
        <v>0.3201</v>
      </c>
    </row>
    <row r="345" spans="1:7">
      <c r="A345" s="93" t="s">
        <v>135</v>
      </c>
      <c r="B345" s="94" t="s">
        <v>136</v>
      </c>
      <c r="C345" s="95">
        <v>299</v>
      </c>
      <c r="D345" s="95">
        <v>4044250</v>
      </c>
      <c r="E345" s="95">
        <v>0</v>
      </c>
      <c r="F345" s="96">
        <v>0</v>
      </c>
      <c r="G345" s="96">
        <v>0.35170000000000001</v>
      </c>
    </row>
    <row r="346" spans="1:7">
      <c r="A346" s="93" t="s">
        <v>769</v>
      </c>
      <c r="B346" s="94" t="s">
        <v>770</v>
      </c>
      <c r="C346" s="95">
        <v>3</v>
      </c>
      <c r="D346" s="95">
        <v>3750</v>
      </c>
      <c r="E346" s="95">
        <v>59160</v>
      </c>
      <c r="F346" s="96">
        <v>-0.93659999999999999</v>
      </c>
      <c r="G346" s="96">
        <v>0.11119999999999999</v>
      </c>
    </row>
    <row r="347" spans="1:7">
      <c r="A347" s="93" t="s">
        <v>771</v>
      </c>
      <c r="B347" s="94" t="s">
        <v>772</v>
      </c>
      <c r="C347" s="95">
        <v>0</v>
      </c>
      <c r="D347" s="95">
        <v>0</v>
      </c>
      <c r="E347" s="95">
        <v>7200</v>
      </c>
      <c r="F347" s="96">
        <v>0</v>
      </c>
      <c r="G347" s="96">
        <v>0</v>
      </c>
    </row>
    <row r="348" spans="1:7">
      <c r="A348" s="93" t="s">
        <v>773</v>
      </c>
      <c r="B348" s="94" t="s">
        <v>774</v>
      </c>
      <c r="C348" s="95">
        <v>73</v>
      </c>
      <c r="D348" s="95">
        <v>236610</v>
      </c>
      <c r="E348" s="95">
        <v>243340</v>
      </c>
      <c r="F348" s="96">
        <v>-2.7699999999999999E-2</v>
      </c>
      <c r="G348" s="96">
        <v>0.39529999999999998</v>
      </c>
    </row>
    <row r="349" spans="1:7">
      <c r="A349" s="93" t="s">
        <v>775</v>
      </c>
      <c r="B349" s="94" t="s">
        <v>776</v>
      </c>
      <c r="C349" s="95">
        <v>6</v>
      </c>
      <c r="D349" s="95">
        <v>145600</v>
      </c>
      <c r="E349" s="95">
        <v>424640</v>
      </c>
      <c r="F349" s="96">
        <v>-0.65710000000000002</v>
      </c>
      <c r="G349" s="96">
        <v>0.35</v>
      </c>
    </row>
    <row r="350" spans="1:7">
      <c r="A350" s="93" t="s">
        <v>777</v>
      </c>
      <c r="B350" s="94" t="s">
        <v>778</v>
      </c>
      <c r="C350" s="95">
        <v>9</v>
      </c>
      <c r="D350" s="95">
        <v>18420</v>
      </c>
      <c r="E350" s="95">
        <v>234060</v>
      </c>
      <c r="F350" s="96">
        <v>-0.92130000000000001</v>
      </c>
      <c r="G350" s="96">
        <v>0.37130000000000002</v>
      </c>
    </row>
    <row r="351" spans="1:7">
      <c r="A351" s="93" t="s">
        <v>779</v>
      </c>
      <c r="B351" s="94" t="s">
        <v>780</v>
      </c>
      <c r="C351" s="95">
        <v>481</v>
      </c>
      <c r="D351" s="95">
        <v>881820</v>
      </c>
      <c r="E351" s="95">
        <v>914730</v>
      </c>
      <c r="F351" s="96">
        <v>-3.5999999999999997E-2</v>
      </c>
      <c r="G351" s="96">
        <v>0.28539999999999999</v>
      </c>
    </row>
    <row r="352" spans="1:7">
      <c r="A352" s="93" t="s">
        <v>781</v>
      </c>
      <c r="B352" s="94" t="s">
        <v>782</v>
      </c>
      <c r="C352" s="95">
        <v>18</v>
      </c>
      <c r="D352" s="95">
        <v>985140</v>
      </c>
      <c r="E352" s="95">
        <v>0</v>
      </c>
      <c r="F352" s="96">
        <v>0</v>
      </c>
      <c r="G352" s="96">
        <v>0.183</v>
      </c>
    </row>
    <row r="353" spans="1:7">
      <c r="A353" s="93" t="s">
        <v>783</v>
      </c>
      <c r="B353" s="94" t="s">
        <v>784</v>
      </c>
      <c r="C353" s="95">
        <v>0</v>
      </c>
      <c r="D353" s="95">
        <v>0</v>
      </c>
      <c r="E353" s="95">
        <v>1777190</v>
      </c>
      <c r="F353" s="96">
        <v>0</v>
      </c>
      <c r="G353" s="96">
        <v>0</v>
      </c>
    </row>
    <row r="354" spans="1:7">
      <c r="A354" s="93" t="s">
        <v>785</v>
      </c>
      <c r="B354" s="94" t="s">
        <v>786</v>
      </c>
      <c r="C354" s="95">
        <v>0</v>
      </c>
      <c r="D354" s="95">
        <v>0</v>
      </c>
      <c r="E354" s="95">
        <v>297800</v>
      </c>
      <c r="F354" s="96">
        <v>0</v>
      </c>
      <c r="G354" s="96">
        <v>0</v>
      </c>
    </row>
    <row r="355" spans="1:7">
      <c r="A355" s="93" t="s">
        <v>137</v>
      </c>
      <c r="B355" s="94" t="s">
        <v>138</v>
      </c>
      <c r="C355" s="95">
        <v>2958</v>
      </c>
      <c r="D355" s="95">
        <v>14989050</v>
      </c>
      <c r="E355" s="95">
        <v>1548890</v>
      </c>
      <c r="F355" s="96">
        <v>8.6773000000000007</v>
      </c>
      <c r="G355" s="96">
        <v>0.33989999999999998</v>
      </c>
    </row>
    <row r="356" spans="1:7">
      <c r="A356" s="93" t="s">
        <v>787</v>
      </c>
      <c r="B356" s="94" t="s">
        <v>788</v>
      </c>
      <c r="C356" s="95">
        <v>0</v>
      </c>
      <c r="D356" s="95">
        <v>0</v>
      </c>
      <c r="E356" s="95">
        <v>44550</v>
      </c>
      <c r="F356" s="96">
        <v>0</v>
      </c>
      <c r="G356" s="96">
        <v>0</v>
      </c>
    </row>
    <row r="357" spans="1:7">
      <c r="A357" s="93" t="s">
        <v>789</v>
      </c>
      <c r="B357" s="94" t="s">
        <v>790</v>
      </c>
      <c r="C357" s="95">
        <v>84</v>
      </c>
      <c r="D357" s="95">
        <v>1193050</v>
      </c>
      <c r="E357" s="95">
        <v>0</v>
      </c>
      <c r="F357" s="96">
        <v>0</v>
      </c>
      <c r="G357" s="96">
        <v>0.34250000000000003</v>
      </c>
    </row>
    <row r="358" spans="1:7">
      <c r="A358" s="93" t="s">
        <v>139</v>
      </c>
      <c r="B358" s="94" t="s">
        <v>140</v>
      </c>
      <c r="C358" s="95">
        <v>446</v>
      </c>
      <c r="D358" s="95">
        <v>3681950</v>
      </c>
      <c r="E358" s="95">
        <v>0</v>
      </c>
      <c r="F358" s="96">
        <v>0</v>
      </c>
      <c r="G358" s="96">
        <v>0.33439999999999998</v>
      </c>
    </row>
    <row r="359" spans="1:7">
      <c r="A359" s="93" t="s">
        <v>791</v>
      </c>
      <c r="B359" s="94" t="s">
        <v>792</v>
      </c>
      <c r="C359" s="95">
        <v>184</v>
      </c>
      <c r="D359" s="95">
        <v>526280</v>
      </c>
      <c r="E359" s="95">
        <v>0</v>
      </c>
      <c r="F359" s="96">
        <v>0</v>
      </c>
      <c r="G359" s="96">
        <v>0.2324</v>
      </c>
    </row>
    <row r="360" spans="1:7">
      <c r="A360" s="93" t="s">
        <v>793</v>
      </c>
      <c r="B360" s="94" t="s">
        <v>794</v>
      </c>
      <c r="C360" s="95">
        <v>2</v>
      </c>
      <c r="D360" s="95">
        <v>125000</v>
      </c>
      <c r="E360" s="95">
        <v>0</v>
      </c>
      <c r="F360" s="96">
        <v>0</v>
      </c>
      <c r="G360" s="96">
        <v>0.2712</v>
      </c>
    </row>
    <row r="361" spans="1:7">
      <c r="A361" s="93" t="s">
        <v>795</v>
      </c>
      <c r="B361" s="94" t="s">
        <v>796</v>
      </c>
      <c r="C361" s="95">
        <v>204</v>
      </c>
      <c r="D361" s="95">
        <v>2508970</v>
      </c>
      <c r="E361" s="95">
        <v>0</v>
      </c>
      <c r="F361" s="96">
        <v>0</v>
      </c>
      <c r="G361" s="96">
        <v>0.2676</v>
      </c>
    </row>
    <row r="362" spans="1:7">
      <c r="A362" s="93" t="s">
        <v>797</v>
      </c>
      <c r="B362" s="94" t="s">
        <v>798</v>
      </c>
      <c r="C362" s="95">
        <v>14</v>
      </c>
      <c r="D362" s="95">
        <v>148750</v>
      </c>
      <c r="E362" s="95">
        <v>0</v>
      </c>
      <c r="F362" s="96">
        <v>0</v>
      </c>
      <c r="G362" s="96">
        <v>0.16</v>
      </c>
    </row>
    <row r="363" spans="1:7">
      <c r="A363" s="93" t="s">
        <v>91</v>
      </c>
      <c r="B363" s="94" t="s">
        <v>92</v>
      </c>
      <c r="C363" s="95">
        <v>1312</v>
      </c>
      <c r="D363" s="95">
        <v>4907920</v>
      </c>
      <c r="E363" s="95">
        <v>5892830</v>
      </c>
      <c r="F363" s="96">
        <v>-0.1671</v>
      </c>
      <c r="G363" s="96">
        <v>0.32550000000000001</v>
      </c>
    </row>
    <row r="364" spans="1:7">
      <c r="A364" s="93" t="s">
        <v>799</v>
      </c>
      <c r="B364" s="94" t="s">
        <v>800</v>
      </c>
      <c r="C364" s="95">
        <v>0</v>
      </c>
      <c r="D364" s="95">
        <v>0</v>
      </c>
      <c r="E364" s="95">
        <v>71420</v>
      </c>
      <c r="F364" s="96">
        <v>0</v>
      </c>
      <c r="G364" s="96">
        <v>0</v>
      </c>
    </row>
    <row r="365" spans="1:7">
      <c r="A365" s="93" t="s">
        <v>93</v>
      </c>
      <c r="B365" s="94" t="s">
        <v>94</v>
      </c>
      <c r="C365" s="95">
        <v>1836</v>
      </c>
      <c r="D365" s="95">
        <v>14626130</v>
      </c>
      <c r="E365" s="95">
        <v>12395000</v>
      </c>
      <c r="F365" s="96">
        <v>0.18</v>
      </c>
      <c r="G365" s="96">
        <v>0.3589</v>
      </c>
    </row>
    <row r="366" spans="1:7">
      <c r="A366" s="93" t="s">
        <v>801</v>
      </c>
      <c r="B366" s="94" t="s">
        <v>802</v>
      </c>
      <c r="C366" s="95">
        <v>12</v>
      </c>
      <c r="D366" s="95">
        <v>168260</v>
      </c>
      <c r="E366" s="95">
        <v>533190</v>
      </c>
      <c r="F366" s="96">
        <v>-0.68440000000000001</v>
      </c>
      <c r="G366" s="96">
        <v>0.42620000000000002</v>
      </c>
    </row>
    <row r="367" spans="1:7">
      <c r="A367" s="93" t="s">
        <v>803</v>
      </c>
      <c r="B367" s="94" t="s">
        <v>804</v>
      </c>
      <c r="C367" s="95">
        <v>0</v>
      </c>
      <c r="D367" s="95">
        <v>0</v>
      </c>
      <c r="E367" s="95">
        <v>151300</v>
      </c>
      <c r="F367" s="96">
        <v>0</v>
      </c>
      <c r="G367" s="96">
        <v>0</v>
      </c>
    </row>
    <row r="368" spans="1:7">
      <c r="A368" s="93" t="s">
        <v>805</v>
      </c>
      <c r="B368" s="94" t="s">
        <v>806</v>
      </c>
      <c r="C368" s="95">
        <v>148</v>
      </c>
      <c r="D368" s="95">
        <v>1933380</v>
      </c>
      <c r="E368" s="95">
        <v>3463650</v>
      </c>
      <c r="F368" s="96">
        <v>-0.44180000000000003</v>
      </c>
      <c r="G368" s="96">
        <v>0.29949999999999999</v>
      </c>
    </row>
    <row r="369" spans="1:7">
      <c r="A369" s="93" t="s">
        <v>807</v>
      </c>
      <c r="B369" s="94" t="s">
        <v>808</v>
      </c>
      <c r="C369" s="95">
        <v>0</v>
      </c>
      <c r="D369" s="95">
        <v>0</v>
      </c>
      <c r="E369" s="95">
        <v>403050</v>
      </c>
      <c r="F369" s="96">
        <v>0</v>
      </c>
      <c r="G369" s="96">
        <v>0</v>
      </c>
    </row>
    <row r="370" spans="1:7">
      <c r="A370" s="93" t="s">
        <v>809</v>
      </c>
      <c r="B370" s="94" t="s">
        <v>810</v>
      </c>
      <c r="C370" s="95">
        <v>777</v>
      </c>
      <c r="D370" s="95">
        <v>10155850</v>
      </c>
      <c r="E370" s="95">
        <v>0</v>
      </c>
      <c r="F370" s="96">
        <v>0</v>
      </c>
      <c r="G370" s="96">
        <v>0.21859999999999999</v>
      </c>
    </row>
    <row r="371" spans="1:7">
      <c r="A371" s="93" t="s">
        <v>811</v>
      </c>
      <c r="B371" s="94" t="s">
        <v>812</v>
      </c>
      <c r="C371" s="95">
        <v>44</v>
      </c>
      <c r="D371" s="95">
        <v>128700</v>
      </c>
      <c r="E371" s="95">
        <v>34150</v>
      </c>
      <c r="F371" s="96">
        <v>2.7686999999999999</v>
      </c>
      <c r="G371" s="96">
        <v>0.3846</v>
      </c>
    </row>
    <row r="372" spans="1:7">
      <c r="A372" s="93" t="s">
        <v>813</v>
      </c>
      <c r="B372" s="94" t="s">
        <v>814</v>
      </c>
      <c r="C372" s="95">
        <v>7</v>
      </c>
      <c r="D372" s="95">
        <v>73140</v>
      </c>
      <c r="E372" s="95">
        <v>592360</v>
      </c>
      <c r="F372" s="96">
        <v>-0.87649999999999995</v>
      </c>
      <c r="G372" s="96">
        <v>0.37159999999999999</v>
      </c>
    </row>
    <row r="373" spans="1:7">
      <c r="A373" s="93" t="s">
        <v>95</v>
      </c>
      <c r="B373" s="94" t="s">
        <v>96</v>
      </c>
      <c r="C373" s="95">
        <v>1745</v>
      </c>
      <c r="D373" s="95">
        <v>8498630</v>
      </c>
      <c r="E373" s="95">
        <v>4199810</v>
      </c>
      <c r="F373" s="96">
        <v>1.0236000000000001</v>
      </c>
      <c r="G373" s="96">
        <v>0.38100000000000001</v>
      </c>
    </row>
    <row r="374" spans="1:7">
      <c r="A374" s="93" t="s">
        <v>815</v>
      </c>
      <c r="B374" s="94" t="s">
        <v>816</v>
      </c>
      <c r="C374" s="95">
        <v>2540</v>
      </c>
      <c r="D374" s="95">
        <v>8657900</v>
      </c>
      <c r="E374" s="95">
        <v>0</v>
      </c>
      <c r="F374" s="96">
        <v>0</v>
      </c>
      <c r="G374" s="96">
        <v>0.33789999999999998</v>
      </c>
    </row>
    <row r="375" spans="1:7">
      <c r="A375" s="93" t="s">
        <v>817</v>
      </c>
      <c r="B375" s="94" t="s">
        <v>818</v>
      </c>
      <c r="C375" s="95">
        <v>0</v>
      </c>
      <c r="D375" s="95">
        <v>0</v>
      </c>
      <c r="E375" s="95">
        <v>269300</v>
      </c>
      <c r="F375" s="96">
        <v>0</v>
      </c>
      <c r="G375" s="96">
        <v>0</v>
      </c>
    </row>
    <row r="376" spans="1:7">
      <c r="A376" s="93" t="s">
        <v>819</v>
      </c>
      <c r="B376" s="94" t="s">
        <v>820</v>
      </c>
      <c r="C376" s="95">
        <v>227</v>
      </c>
      <c r="D376" s="95">
        <v>443900</v>
      </c>
      <c r="E376" s="95">
        <v>396400</v>
      </c>
      <c r="F376" s="96">
        <v>0.1198</v>
      </c>
      <c r="G376" s="96">
        <v>0.4375</v>
      </c>
    </row>
    <row r="377" spans="1:7">
      <c r="A377" s="93" t="s">
        <v>821</v>
      </c>
      <c r="B377" s="94" t="s">
        <v>822</v>
      </c>
      <c r="C377" s="95">
        <v>794</v>
      </c>
      <c r="D377" s="95">
        <v>3378080</v>
      </c>
      <c r="E377" s="95">
        <v>2965220</v>
      </c>
      <c r="F377" s="96">
        <v>0.13919999999999999</v>
      </c>
      <c r="G377" s="96">
        <v>0.39269999999999999</v>
      </c>
    </row>
    <row r="378" spans="1:7">
      <c r="A378" s="93" t="s">
        <v>823</v>
      </c>
      <c r="B378" s="94" t="s">
        <v>824</v>
      </c>
      <c r="C378" s="95">
        <v>47</v>
      </c>
      <c r="D378" s="95">
        <v>224050</v>
      </c>
      <c r="E378" s="95">
        <v>380870</v>
      </c>
      <c r="F378" s="96">
        <v>-0.41170000000000001</v>
      </c>
      <c r="G378" s="96">
        <v>0.2707</v>
      </c>
    </row>
    <row r="379" spans="1:7">
      <c r="A379" s="93" t="s">
        <v>825</v>
      </c>
      <c r="B379" s="94" t="s">
        <v>826</v>
      </c>
      <c r="C379" s="95">
        <v>169</v>
      </c>
      <c r="D379" s="95">
        <v>710110</v>
      </c>
      <c r="E379" s="95">
        <v>0</v>
      </c>
      <c r="F379" s="96">
        <v>0</v>
      </c>
      <c r="G379" s="96">
        <v>0.223</v>
      </c>
    </row>
    <row r="380" spans="1:7">
      <c r="A380" s="93" t="s">
        <v>827</v>
      </c>
      <c r="B380" s="94" t="s">
        <v>828</v>
      </c>
      <c r="C380" s="95">
        <v>0</v>
      </c>
      <c r="D380" s="95">
        <v>0</v>
      </c>
      <c r="E380" s="95">
        <v>2501950</v>
      </c>
      <c r="F380" s="96">
        <v>0</v>
      </c>
      <c r="G380" s="96">
        <v>0</v>
      </c>
    </row>
    <row r="381" spans="1:7">
      <c r="A381" s="93" t="s">
        <v>829</v>
      </c>
      <c r="B381" s="94" t="s">
        <v>830</v>
      </c>
      <c r="C381" s="95">
        <v>44</v>
      </c>
      <c r="D381" s="95">
        <v>1526820</v>
      </c>
      <c r="E381" s="95">
        <v>3105080</v>
      </c>
      <c r="F381" s="96">
        <v>-0.50829999999999997</v>
      </c>
      <c r="G381" s="96">
        <v>0.37859999999999999</v>
      </c>
    </row>
    <row r="382" spans="1:7">
      <c r="A382" s="93" t="s">
        <v>831</v>
      </c>
      <c r="B382" s="94" t="s">
        <v>832</v>
      </c>
      <c r="C382" s="95">
        <v>0</v>
      </c>
      <c r="D382" s="95">
        <v>0</v>
      </c>
      <c r="E382" s="95">
        <v>1793050</v>
      </c>
      <c r="F382" s="96">
        <v>0</v>
      </c>
      <c r="G382" s="96">
        <v>0</v>
      </c>
    </row>
    <row r="383" spans="1:7">
      <c r="A383" s="93" t="s">
        <v>833</v>
      </c>
      <c r="B383" s="94" t="s">
        <v>834</v>
      </c>
      <c r="C383" s="95">
        <v>0</v>
      </c>
      <c r="D383" s="95">
        <v>0</v>
      </c>
      <c r="E383" s="95">
        <v>1531380</v>
      </c>
      <c r="F383" s="96">
        <v>0</v>
      </c>
      <c r="G383" s="96">
        <v>0</v>
      </c>
    </row>
    <row r="384" spans="1:7">
      <c r="A384" s="93" t="s">
        <v>835</v>
      </c>
      <c r="B384" s="94" t="s">
        <v>836</v>
      </c>
      <c r="C384" s="95">
        <v>290</v>
      </c>
      <c r="D384" s="95">
        <v>639670</v>
      </c>
      <c r="E384" s="95">
        <v>736120</v>
      </c>
      <c r="F384" s="96">
        <v>-0.13100000000000001</v>
      </c>
      <c r="G384" s="96">
        <v>0.4889</v>
      </c>
    </row>
    <row r="385" spans="1:7">
      <c r="A385" s="93" t="s">
        <v>837</v>
      </c>
      <c r="B385" s="94" t="s">
        <v>838</v>
      </c>
      <c r="C385" s="95">
        <v>124</v>
      </c>
      <c r="D385" s="95">
        <v>5849060</v>
      </c>
      <c r="E385" s="95">
        <v>4426820</v>
      </c>
      <c r="F385" s="96">
        <v>0.32129999999999997</v>
      </c>
      <c r="G385" s="96">
        <v>0.18340000000000001</v>
      </c>
    </row>
    <row r="386" spans="1:7">
      <c r="A386" s="93" t="s">
        <v>839</v>
      </c>
      <c r="B386" s="94" t="s">
        <v>840</v>
      </c>
      <c r="C386" s="95">
        <v>0</v>
      </c>
      <c r="D386" s="95">
        <v>0</v>
      </c>
      <c r="E386" s="95">
        <v>231270</v>
      </c>
      <c r="F386" s="96">
        <v>0</v>
      </c>
      <c r="G386" s="96">
        <v>0</v>
      </c>
    </row>
    <row r="387" spans="1:7">
      <c r="A387" s="93" t="s">
        <v>841</v>
      </c>
      <c r="B387" s="94" t="s">
        <v>842</v>
      </c>
      <c r="C387" s="95">
        <v>106</v>
      </c>
      <c r="D387" s="95">
        <v>314100</v>
      </c>
      <c r="E387" s="95">
        <v>0</v>
      </c>
      <c r="F387" s="96">
        <v>0</v>
      </c>
      <c r="G387" s="96">
        <v>0.3926</v>
      </c>
    </row>
    <row r="388" spans="1:7">
      <c r="A388" s="93" t="s">
        <v>843</v>
      </c>
      <c r="B388" s="94" t="s">
        <v>844</v>
      </c>
      <c r="C388" s="95">
        <v>1</v>
      </c>
      <c r="D388" s="95">
        <v>1250</v>
      </c>
      <c r="E388" s="95">
        <v>16880</v>
      </c>
      <c r="F388" s="96">
        <v>-0.92589999999999995</v>
      </c>
      <c r="G388" s="96">
        <v>0.11119999999999999</v>
      </c>
    </row>
    <row r="389" spans="1:7">
      <c r="A389" s="93" t="s">
        <v>845</v>
      </c>
      <c r="B389" s="94" t="s">
        <v>846</v>
      </c>
      <c r="C389" s="95">
        <v>15241</v>
      </c>
      <c r="D389" s="95">
        <v>38537190</v>
      </c>
      <c r="E389" s="95">
        <v>34868860</v>
      </c>
      <c r="F389" s="96">
        <v>0.1052</v>
      </c>
      <c r="G389" s="96">
        <v>0.46350000000000002</v>
      </c>
    </row>
    <row r="390" spans="1:7">
      <c r="A390" s="93" t="s">
        <v>847</v>
      </c>
      <c r="B390" s="94" t="s">
        <v>848</v>
      </c>
      <c r="C390" s="95">
        <v>8</v>
      </c>
      <c r="D390" s="95">
        <v>96760</v>
      </c>
      <c r="E390" s="95">
        <v>90600</v>
      </c>
      <c r="F390" s="96">
        <v>6.8000000000000005E-2</v>
      </c>
      <c r="G390" s="96">
        <v>0.28070000000000001</v>
      </c>
    </row>
    <row r="391" spans="1:7">
      <c r="A391" s="93" t="s">
        <v>849</v>
      </c>
      <c r="B391" s="94" t="s">
        <v>850</v>
      </c>
      <c r="C391" s="95">
        <v>0</v>
      </c>
      <c r="D391" s="95">
        <v>0</v>
      </c>
      <c r="E391" s="95">
        <v>15940</v>
      </c>
      <c r="F391" s="96">
        <v>0</v>
      </c>
      <c r="G391" s="96">
        <v>0</v>
      </c>
    </row>
    <row r="392" spans="1:7">
      <c r="A392" s="93" t="s">
        <v>851</v>
      </c>
      <c r="B392" s="94" t="s">
        <v>852</v>
      </c>
      <c r="C392" s="95">
        <v>34</v>
      </c>
      <c r="D392" s="95">
        <v>238000</v>
      </c>
      <c r="E392" s="95">
        <v>0</v>
      </c>
      <c r="F392" s="96">
        <v>0</v>
      </c>
      <c r="G392" s="96">
        <v>0.33629999999999999</v>
      </c>
    </row>
    <row r="393" spans="1:7">
      <c r="A393" s="93" t="s">
        <v>853</v>
      </c>
      <c r="B393" s="94" t="s">
        <v>854</v>
      </c>
      <c r="C393" s="95">
        <v>697</v>
      </c>
      <c r="D393" s="95">
        <v>3110670</v>
      </c>
      <c r="E393" s="95">
        <v>3416770</v>
      </c>
      <c r="F393" s="96">
        <v>-8.9599999999999999E-2</v>
      </c>
      <c r="G393" s="96">
        <v>0.4224</v>
      </c>
    </row>
    <row r="394" spans="1:7">
      <c r="A394" s="93" t="s">
        <v>97</v>
      </c>
      <c r="B394" s="94" t="s">
        <v>98</v>
      </c>
      <c r="C394" s="95">
        <v>336</v>
      </c>
      <c r="D394" s="95">
        <v>1924140</v>
      </c>
      <c r="E394" s="95">
        <v>3399840</v>
      </c>
      <c r="F394" s="96">
        <v>-0.434</v>
      </c>
      <c r="G394" s="96">
        <v>0.38300000000000001</v>
      </c>
    </row>
    <row r="395" spans="1:7">
      <c r="A395" s="93" t="s">
        <v>99</v>
      </c>
      <c r="B395" s="94" t="s">
        <v>855</v>
      </c>
      <c r="C395" s="95">
        <v>2371</v>
      </c>
      <c r="D395" s="95">
        <v>9026740</v>
      </c>
      <c r="E395" s="95">
        <v>10792940</v>
      </c>
      <c r="F395" s="96">
        <v>-0.1636</v>
      </c>
      <c r="G395" s="96">
        <v>0.377</v>
      </c>
    </row>
    <row r="396" spans="1:7">
      <c r="A396" s="93" t="s">
        <v>856</v>
      </c>
      <c r="B396" s="94" t="s">
        <v>857</v>
      </c>
      <c r="C396" s="95">
        <v>0</v>
      </c>
      <c r="D396" s="95">
        <v>0</v>
      </c>
      <c r="E396" s="95">
        <v>201510</v>
      </c>
      <c r="F396" s="96">
        <v>0</v>
      </c>
      <c r="G396" s="96">
        <v>0</v>
      </c>
    </row>
    <row r="397" spans="1:7">
      <c r="A397" s="93" t="s">
        <v>858</v>
      </c>
      <c r="B397" s="94" t="s">
        <v>859</v>
      </c>
      <c r="C397" s="95">
        <v>297</v>
      </c>
      <c r="D397" s="95">
        <v>8150440</v>
      </c>
      <c r="E397" s="95">
        <v>7494160</v>
      </c>
      <c r="F397" s="96">
        <v>8.7599999999999997E-2</v>
      </c>
      <c r="G397" s="96">
        <v>0.23050000000000001</v>
      </c>
    </row>
    <row r="398" spans="1:7">
      <c r="A398" s="93" t="s">
        <v>860</v>
      </c>
      <c r="B398" s="94" t="s">
        <v>861</v>
      </c>
      <c r="C398" s="95">
        <v>59</v>
      </c>
      <c r="D398" s="95">
        <v>184180</v>
      </c>
      <c r="E398" s="95">
        <v>100</v>
      </c>
      <c r="F398" s="96">
        <v>1840.8</v>
      </c>
      <c r="G398" s="96">
        <v>0.3624</v>
      </c>
    </row>
    <row r="399" spans="1:7">
      <c r="A399" s="93" t="s">
        <v>862</v>
      </c>
      <c r="B399" s="94" t="s">
        <v>863</v>
      </c>
      <c r="C399" s="95">
        <v>275</v>
      </c>
      <c r="D399" s="95">
        <v>5375250</v>
      </c>
      <c r="E399" s="95">
        <v>1943180</v>
      </c>
      <c r="F399" s="96">
        <v>1.7662</v>
      </c>
      <c r="G399" s="96">
        <v>0.33950000000000002</v>
      </c>
    </row>
    <row r="400" spans="1:7">
      <c r="A400" s="93" t="s">
        <v>864</v>
      </c>
      <c r="B400" s="94" t="s">
        <v>865</v>
      </c>
      <c r="C400" s="95">
        <v>0</v>
      </c>
      <c r="D400" s="95">
        <v>0</v>
      </c>
      <c r="E400" s="95">
        <v>80250</v>
      </c>
      <c r="F400" s="96">
        <v>0</v>
      </c>
      <c r="G400" s="96">
        <v>0</v>
      </c>
    </row>
    <row r="401" spans="1:7">
      <c r="A401" s="93" t="s">
        <v>101</v>
      </c>
      <c r="B401" s="94" t="s">
        <v>102</v>
      </c>
      <c r="C401" s="95">
        <v>1667</v>
      </c>
      <c r="D401" s="95">
        <v>4626670</v>
      </c>
      <c r="E401" s="95">
        <v>3495430</v>
      </c>
      <c r="F401" s="96">
        <v>0.3236</v>
      </c>
      <c r="G401" s="96">
        <v>0.39650000000000002</v>
      </c>
    </row>
    <row r="402" spans="1:7">
      <c r="A402" s="93" t="s">
        <v>866</v>
      </c>
      <c r="B402" s="94" t="s">
        <v>867</v>
      </c>
      <c r="C402" s="95">
        <v>0</v>
      </c>
      <c r="D402" s="95">
        <v>0</v>
      </c>
      <c r="E402" s="95">
        <v>1056410</v>
      </c>
      <c r="F402" s="96">
        <v>0</v>
      </c>
      <c r="G402" s="96">
        <v>0</v>
      </c>
    </row>
    <row r="403" spans="1:7">
      <c r="A403" s="93" t="s">
        <v>103</v>
      </c>
      <c r="B403" s="94" t="s">
        <v>104</v>
      </c>
      <c r="C403" s="95">
        <v>78</v>
      </c>
      <c r="D403" s="95">
        <v>1270200</v>
      </c>
      <c r="E403" s="95">
        <v>2783470</v>
      </c>
      <c r="F403" s="96">
        <v>-0.54369999999999996</v>
      </c>
      <c r="G403" s="96">
        <v>0.38969999999999999</v>
      </c>
    </row>
    <row r="404" spans="1:7">
      <c r="A404" s="93" t="s">
        <v>105</v>
      </c>
      <c r="B404" s="94" t="s">
        <v>106</v>
      </c>
      <c r="C404" s="95">
        <v>1445</v>
      </c>
      <c r="D404" s="95">
        <v>8476620</v>
      </c>
      <c r="E404" s="95">
        <v>6626880</v>
      </c>
      <c r="F404" s="96">
        <v>0.27910000000000001</v>
      </c>
      <c r="G404" s="96">
        <v>0.3765</v>
      </c>
    </row>
    <row r="405" spans="1:7">
      <c r="A405" s="93" t="s">
        <v>107</v>
      </c>
      <c r="B405" s="94" t="s">
        <v>868</v>
      </c>
      <c r="C405" s="95">
        <v>471</v>
      </c>
      <c r="D405" s="95">
        <v>1293770</v>
      </c>
      <c r="E405" s="95">
        <v>0</v>
      </c>
      <c r="F405" s="96">
        <v>0</v>
      </c>
      <c r="G405" s="96">
        <v>0.35670000000000002</v>
      </c>
    </row>
    <row r="406" spans="1:7">
      <c r="A406" s="93" t="s">
        <v>869</v>
      </c>
      <c r="B406" s="94" t="s">
        <v>870</v>
      </c>
      <c r="C406" s="95">
        <v>167</v>
      </c>
      <c r="D406" s="95">
        <v>572700</v>
      </c>
      <c r="E406" s="95">
        <v>745630</v>
      </c>
      <c r="F406" s="96">
        <v>-0.2319</v>
      </c>
      <c r="G406" s="96">
        <v>0.27589999999999998</v>
      </c>
    </row>
    <row r="407" spans="1:7">
      <c r="A407" s="93" t="s">
        <v>871</v>
      </c>
      <c r="B407" s="94" t="s">
        <v>872</v>
      </c>
      <c r="C407" s="95">
        <v>202</v>
      </c>
      <c r="D407" s="95">
        <v>4176010</v>
      </c>
      <c r="E407" s="95">
        <v>0</v>
      </c>
      <c r="F407" s="96">
        <v>0</v>
      </c>
      <c r="G407" s="96">
        <v>0.34920000000000001</v>
      </c>
    </row>
    <row r="408" spans="1:7">
      <c r="A408" s="93" t="s">
        <v>873</v>
      </c>
      <c r="B408" s="94" t="s">
        <v>874</v>
      </c>
      <c r="C408" s="95">
        <v>0</v>
      </c>
      <c r="D408" s="95">
        <v>0</v>
      </c>
      <c r="E408" s="95">
        <v>1254330</v>
      </c>
      <c r="F408" s="96">
        <v>0</v>
      </c>
      <c r="G408" s="96">
        <v>0</v>
      </c>
    </row>
    <row r="409" spans="1:7">
      <c r="A409" s="93" t="s">
        <v>875</v>
      </c>
      <c r="B409" s="94" t="s">
        <v>876</v>
      </c>
      <c r="C409" s="95">
        <v>358</v>
      </c>
      <c r="D409" s="95">
        <v>4674100</v>
      </c>
      <c r="E409" s="95">
        <v>0</v>
      </c>
      <c r="F409" s="96">
        <v>0</v>
      </c>
      <c r="G409" s="96">
        <v>0.33960000000000001</v>
      </c>
    </row>
    <row r="410" spans="1:7">
      <c r="A410" s="93" t="s">
        <v>877</v>
      </c>
      <c r="B410" s="94" t="s">
        <v>878</v>
      </c>
      <c r="C410" s="95">
        <v>31</v>
      </c>
      <c r="D410" s="95">
        <v>3431920</v>
      </c>
      <c r="E410" s="95">
        <v>3570210</v>
      </c>
      <c r="F410" s="96">
        <v>-3.8699999999999998E-2</v>
      </c>
      <c r="G410" s="96">
        <v>0.42509999999999998</v>
      </c>
    </row>
    <row r="411" spans="1:7">
      <c r="A411" s="93" t="s">
        <v>879</v>
      </c>
      <c r="B411" s="94" t="s">
        <v>880</v>
      </c>
      <c r="C411" s="95">
        <v>2277</v>
      </c>
      <c r="D411" s="95">
        <v>9038420</v>
      </c>
      <c r="E411" s="95">
        <v>8428410</v>
      </c>
      <c r="F411" s="96">
        <v>7.2400000000000006E-2</v>
      </c>
      <c r="G411" s="96">
        <v>0.3569</v>
      </c>
    </row>
    <row r="412" spans="1:7">
      <c r="A412" s="93" t="s">
        <v>881</v>
      </c>
      <c r="B412" s="94" t="s">
        <v>882</v>
      </c>
      <c r="C412" s="95">
        <v>433</v>
      </c>
      <c r="D412" s="95">
        <v>14564300</v>
      </c>
      <c r="E412" s="95">
        <v>17704810</v>
      </c>
      <c r="F412" s="96">
        <v>-0.1774</v>
      </c>
      <c r="G412" s="96">
        <v>0.42480000000000001</v>
      </c>
    </row>
    <row r="413" spans="1:7">
      <c r="A413" s="93" t="s">
        <v>883</v>
      </c>
      <c r="B413" s="94" t="s">
        <v>884</v>
      </c>
      <c r="C413" s="95">
        <v>0</v>
      </c>
      <c r="D413" s="95">
        <v>0</v>
      </c>
      <c r="E413" s="95">
        <v>597590</v>
      </c>
      <c r="F413" s="96">
        <v>0</v>
      </c>
      <c r="G413" s="96">
        <v>0</v>
      </c>
    </row>
    <row r="414" spans="1:7">
      <c r="A414" s="93" t="s">
        <v>885</v>
      </c>
      <c r="B414" s="94" t="s">
        <v>886</v>
      </c>
      <c r="C414" s="95">
        <v>0</v>
      </c>
      <c r="D414" s="95">
        <v>0</v>
      </c>
      <c r="E414" s="95">
        <v>1340470</v>
      </c>
      <c r="F414" s="96">
        <v>0</v>
      </c>
      <c r="G414" s="96">
        <v>0</v>
      </c>
    </row>
    <row r="415" spans="1:7">
      <c r="A415" s="93" t="s">
        <v>887</v>
      </c>
      <c r="B415" s="94" t="s">
        <v>888</v>
      </c>
      <c r="C415" s="95">
        <v>0</v>
      </c>
      <c r="D415" s="95">
        <v>0</v>
      </c>
      <c r="E415" s="95">
        <v>917710</v>
      </c>
      <c r="F415" s="96">
        <v>0</v>
      </c>
      <c r="G415" s="96">
        <v>0</v>
      </c>
    </row>
    <row r="416" spans="1:7">
      <c r="A416" s="93" t="s">
        <v>889</v>
      </c>
      <c r="B416" s="94" t="s">
        <v>890</v>
      </c>
      <c r="C416" s="95">
        <v>189</v>
      </c>
      <c r="D416" s="95">
        <v>338060</v>
      </c>
      <c r="E416" s="95">
        <v>0</v>
      </c>
      <c r="F416" s="96">
        <v>0</v>
      </c>
      <c r="G416" s="96">
        <v>0.30769999999999997</v>
      </c>
    </row>
    <row r="417" spans="1:7">
      <c r="A417" s="93" t="s">
        <v>109</v>
      </c>
      <c r="B417" s="94" t="s">
        <v>110</v>
      </c>
      <c r="C417" s="95">
        <v>315</v>
      </c>
      <c r="D417" s="95">
        <v>785820</v>
      </c>
      <c r="E417" s="95">
        <v>636720</v>
      </c>
      <c r="F417" s="96">
        <v>0.23419999999999999</v>
      </c>
      <c r="G417" s="96">
        <v>0.28139999999999998</v>
      </c>
    </row>
    <row r="418" spans="1:7">
      <c r="A418" s="93" t="s">
        <v>891</v>
      </c>
      <c r="B418" s="94" t="s">
        <v>892</v>
      </c>
      <c r="C418" s="95">
        <v>143</v>
      </c>
      <c r="D418" s="95">
        <v>5167100</v>
      </c>
      <c r="E418" s="95">
        <v>4957550</v>
      </c>
      <c r="F418" s="96">
        <v>4.2299999999999997E-2</v>
      </c>
      <c r="G418" s="96">
        <v>0.27139999999999997</v>
      </c>
    </row>
    <row r="419" spans="1:7">
      <c r="A419" s="93" t="s">
        <v>893</v>
      </c>
      <c r="B419" s="94" t="s">
        <v>894</v>
      </c>
      <c r="C419" s="95">
        <v>284</v>
      </c>
      <c r="D419" s="95">
        <v>2451300</v>
      </c>
      <c r="E419" s="95">
        <v>0</v>
      </c>
      <c r="F419" s="96">
        <v>0</v>
      </c>
      <c r="G419" s="96">
        <v>0.29809999999999998</v>
      </c>
    </row>
    <row r="420" spans="1:7">
      <c r="A420" s="93" t="s">
        <v>895</v>
      </c>
      <c r="B420" s="94" t="s">
        <v>896</v>
      </c>
      <c r="C420" s="95">
        <v>95</v>
      </c>
      <c r="D420" s="95">
        <v>1090880</v>
      </c>
      <c r="E420" s="95">
        <v>0</v>
      </c>
      <c r="F420" s="96">
        <v>0</v>
      </c>
      <c r="G420" s="96">
        <v>0.24909999999999999</v>
      </c>
    </row>
    <row r="421" spans="1:7">
      <c r="A421" s="93" t="s">
        <v>897</v>
      </c>
      <c r="B421" s="94" t="s">
        <v>898</v>
      </c>
      <c r="C421" s="95">
        <v>0</v>
      </c>
      <c r="D421" s="95">
        <v>0</v>
      </c>
      <c r="E421" s="95">
        <v>155900</v>
      </c>
      <c r="F421" s="96">
        <v>0</v>
      </c>
      <c r="G421" s="96">
        <v>0</v>
      </c>
    </row>
    <row r="422" spans="1:7">
      <c r="A422" s="93" t="s">
        <v>899</v>
      </c>
      <c r="B422" s="94" t="s">
        <v>900</v>
      </c>
      <c r="C422" s="95">
        <v>18</v>
      </c>
      <c r="D422" s="95">
        <v>56670</v>
      </c>
      <c r="E422" s="95">
        <v>45930</v>
      </c>
      <c r="F422" s="96">
        <v>0.23380000000000001</v>
      </c>
      <c r="G422" s="96">
        <v>0.28760000000000002</v>
      </c>
    </row>
    <row r="423" spans="1:7">
      <c r="A423" s="93" t="s">
        <v>901</v>
      </c>
      <c r="B423" s="94" t="s">
        <v>902</v>
      </c>
      <c r="C423" s="95">
        <v>523</v>
      </c>
      <c r="D423" s="95">
        <v>1323370</v>
      </c>
      <c r="E423" s="95">
        <v>1358110</v>
      </c>
      <c r="F423" s="96">
        <v>-2.5600000000000001E-2</v>
      </c>
      <c r="G423" s="96">
        <v>0.38119999999999998</v>
      </c>
    </row>
    <row r="424" spans="1:7">
      <c r="A424" s="93" t="s">
        <v>903</v>
      </c>
      <c r="B424" s="94" t="s">
        <v>904</v>
      </c>
      <c r="C424" s="95">
        <v>81</v>
      </c>
      <c r="D424" s="95">
        <v>1722160</v>
      </c>
      <c r="E424" s="95">
        <v>0</v>
      </c>
      <c r="F424" s="96">
        <v>0</v>
      </c>
      <c r="G424" s="96">
        <v>0.22700000000000001</v>
      </c>
    </row>
    <row r="425" spans="1:7">
      <c r="A425" s="93" t="s">
        <v>905</v>
      </c>
      <c r="B425" s="94" t="s">
        <v>906</v>
      </c>
      <c r="C425" s="95">
        <v>0</v>
      </c>
      <c r="D425" s="95">
        <v>0</v>
      </c>
      <c r="E425" s="95">
        <v>973460</v>
      </c>
      <c r="F425" s="96">
        <v>0</v>
      </c>
      <c r="G425" s="96">
        <v>0</v>
      </c>
    </row>
    <row r="426" spans="1:7">
      <c r="A426" s="93" t="s">
        <v>907</v>
      </c>
      <c r="B426" s="94" t="s">
        <v>908</v>
      </c>
      <c r="C426" s="95">
        <v>0</v>
      </c>
      <c r="D426" s="95">
        <v>0</v>
      </c>
      <c r="E426" s="95">
        <v>22500</v>
      </c>
      <c r="F426" s="96">
        <v>0</v>
      </c>
      <c r="G426" s="96">
        <v>0</v>
      </c>
    </row>
    <row r="427" spans="1:7">
      <c r="A427" s="93" t="s">
        <v>909</v>
      </c>
      <c r="B427" s="94" t="s">
        <v>910</v>
      </c>
      <c r="C427" s="95">
        <v>83</v>
      </c>
      <c r="D427" s="95">
        <v>1082170</v>
      </c>
      <c r="E427" s="95">
        <v>1042410</v>
      </c>
      <c r="F427" s="96">
        <v>3.8100000000000002E-2</v>
      </c>
      <c r="G427" s="96">
        <v>0.31950000000000001</v>
      </c>
    </row>
    <row r="428" spans="1:7">
      <c r="A428" s="93" t="s">
        <v>911</v>
      </c>
      <c r="B428" s="94" t="s">
        <v>912</v>
      </c>
      <c r="C428" s="95">
        <v>487</v>
      </c>
      <c r="D428" s="95">
        <v>1701450</v>
      </c>
      <c r="E428" s="95">
        <v>1548020</v>
      </c>
      <c r="F428" s="96">
        <v>9.9099999999999994E-2</v>
      </c>
      <c r="G428" s="96">
        <v>0.49809999999999999</v>
      </c>
    </row>
    <row r="429" spans="1:7">
      <c r="A429" s="93" t="s">
        <v>913</v>
      </c>
      <c r="B429" s="94" t="s">
        <v>914</v>
      </c>
      <c r="C429" s="95">
        <v>0</v>
      </c>
      <c r="D429" s="95">
        <v>0</v>
      </c>
      <c r="E429" s="95">
        <v>294200</v>
      </c>
      <c r="F429" s="96">
        <v>0</v>
      </c>
      <c r="G429" s="96">
        <v>0</v>
      </c>
    </row>
    <row r="430" spans="1:7">
      <c r="A430" s="93" t="s">
        <v>915</v>
      </c>
      <c r="B430" s="94" t="s">
        <v>916</v>
      </c>
      <c r="C430" s="95">
        <v>0</v>
      </c>
      <c r="D430" s="95">
        <v>0</v>
      </c>
      <c r="E430" s="95">
        <v>7397510</v>
      </c>
      <c r="F430" s="96">
        <v>0</v>
      </c>
      <c r="G430" s="96">
        <v>0</v>
      </c>
    </row>
    <row r="431" spans="1:7">
      <c r="A431" s="93" t="s">
        <v>917</v>
      </c>
      <c r="B431" s="94" t="s">
        <v>918</v>
      </c>
      <c r="C431" s="95">
        <v>3</v>
      </c>
      <c r="D431" s="95">
        <v>53330</v>
      </c>
      <c r="E431" s="95">
        <v>574130</v>
      </c>
      <c r="F431" s="96">
        <v>-0.90710000000000002</v>
      </c>
      <c r="G431" s="96">
        <v>0.56179999999999997</v>
      </c>
    </row>
    <row r="432" spans="1:7">
      <c r="A432" s="93" t="s">
        <v>919</v>
      </c>
      <c r="B432" s="94" t="s">
        <v>920</v>
      </c>
      <c r="C432" s="95">
        <v>93</v>
      </c>
      <c r="D432" s="95">
        <v>158210</v>
      </c>
      <c r="E432" s="95">
        <v>41640</v>
      </c>
      <c r="F432" s="96">
        <v>2.7995000000000001</v>
      </c>
      <c r="G432" s="96">
        <v>0.37540000000000001</v>
      </c>
    </row>
    <row r="433" spans="1:7">
      <c r="A433" s="93" t="s">
        <v>921</v>
      </c>
      <c r="B433" s="94" t="s">
        <v>922</v>
      </c>
      <c r="C433" s="95">
        <v>4</v>
      </c>
      <c r="D433" s="95">
        <v>10650</v>
      </c>
      <c r="E433" s="95">
        <v>216810</v>
      </c>
      <c r="F433" s="96">
        <v>-0.95089999999999997</v>
      </c>
      <c r="G433" s="96">
        <v>0.34379999999999999</v>
      </c>
    </row>
    <row r="434" spans="1:7">
      <c r="A434" s="93" t="s">
        <v>111</v>
      </c>
      <c r="B434" s="94" t="s">
        <v>923</v>
      </c>
      <c r="C434" s="95">
        <v>449</v>
      </c>
      <c r="D434" s="95">
        <v>3907690</v>
      </c>
      <c r="E434" s="95">
        <v>0</v>
      </c>
      <c r="F434" s="96">
        <v>0</v>
      </c>
      <c r="G434" s="96">
        <v>0.38190000000000002</v>
      </c>
    </row>
    <row r="435" spans="1:7">
      <c r="A435" s="93" t="s">
        <v>924</v>
      </c>
      <c r="B435" s="94" t="s">
        <v>925</v>
      </c>
      <c r="C435" s="95">
        <v>3</v>
      </c>
      <c r="D435" s="95">
        <v>31500</v>
      </c>
      <c r="E435" s="95">
        <v>0</v>
      </c>
      <c r="F435" s="96">
        <v>0</v>
      </c>
      <c r="G435" s="96">
        <v>7.1400000000000005E-2</v>
      </c>
    </row>
    <row r="436" spans="1:7">
      <c r="A436" s="93" t="s">
        <v>926</v>
      </c>
      <c r="B436" s="94" t="s">
        <v>927</v>
      </c>
      <c r="C436" s="95">
        <v>18</v>
      </c>
      <c r="D436" s="95">
        <v>698130</v>
      </c>
      <c r="E436" s="95">
        <v>0</v>
      </c>
      <c r="F436" s="96">
        <v>0</v>
      </c>
      <c r="G436" s="96">
        <v>0.23169999999999999</v>
      </c>
    </row>
    <row r="437" spans="1:7">
      <c r="A437" s="93" t="s">
        <v>928</v>
      </c>
      <c r="B437" s="94" t="s">
        <v>929</v>
      </c>
      <c r="C437" s="95">
        <v>67</v>
      </c>
      <c r="D437" s="95">
        <v>353220</v>
      </c>
      <c r="E437" s="95">
        <v>272360</v>
      </c>
      <c r="F437" s="96">
        <v>0.2969</v>
      </c>
      <c r="G437" s="96">
        <v>0.47120000000000001</v>
      </c>
    </row>
    <row r="438" spans="1:7">
      <c r="A438" s="93" t="s">
        <v>930</v>
      </c>
      <c r="B438" s="94" t="s">
        <v>931</v>
      </c>
      <c r="C438" s="95">
        <v>0</v>
      </c>
      <c r="D438" s="95">
        <v>0</v>
      </c>
      <c r="E438" s="95">
        <v>574790</v>
      </c>
      <c r="F438" s="96">
        <v>0</v>
      </c>
      <c r="G438" s="96">
        <v>0</v>
      </c>
    </row>
    <row r="439" spans="1:7">
      <c r="A439" s="93" t="s">
        <v>932</v>
      </c>
      <c r="B439" s="94" t="s">
        <v>933</v>
      </c>
      <c r="C439" s="95">
        <v>599</v>
      </c>
      <c r="D439" s="95">
        <v>2141080</v>
      </c>
      <c r="E439" s="95">
        <v>0</v>
      </c>
      <c r="F439" s="96">
        <v>0</v>
      </c>
      <c r="G439" s="96">
        <v>0.20150000000000001</v>
      </c>
    </row>
    <row r="440" spans="1:7">
      <c r="A440" s="93" t="s">
        <v>934</v>
      </c>
      <c r="B440" s="94" t="s">
        <v>935</v>
      </c>
      <c r="C440" s="95">
        <v>66</v>
      </c>
      <c r="D440" s="95">
        <v>438340</v>
      </c>
      <c r="E440" s="95">
        <v>353520</v>
      </c>
      <c r="F440" s="96">
        <v>0.2399</v>
      </c>
      <c r="G440" s="96">
        <v>0.42859999999999998</v>
      </c>
    </row>
    <row r="441" spans="1:7">
      <c r="A441" s="93" t="s">
        <v>936</v>
      </c>
      <c r="B441" s="94" t="s">
        <v>937</v>
      </c>
      <c r="C441" s="95">
        <v>170</v>
      </c>
      <c r="D441" s="95">
        <v>1606310</v>
      </c>
      <c r="E441" s="95">
        <v>0</v>
      </c>
      <c r="F441" s="96">
        <v>0</v>
      </c>
      <c r="G441" s="96">
        <v>0.30099999999999999</v>
      </c>
    </row>
    <row r="442" spans="1:7">
      <c r="A442" s="93" t="s">
        <v>938</v>
      </c>
      <c r="B442" s="94" t="s">
        <v>939</v>
      </c>
      <c r="C442" s="95">
        <v>279</v>
      </c>
      <c r="D442" s="95">
        <v>1301900</v>
      </c>
      <c r="E442" s="95">
        <v>670440</v>
      </c>
      <c r="F442" s="96">
        <v>0.94189999999999996</v>
      </c>
      <c r="G442" s="96">
        <v>0.22720000000000001</v>
      </c>
    </row>
    <row r="443" spans="1:7">
      <c r="A443" s="93" t="s">
        <v>940</v>
      </c>
      <c r="B443" s="94" t="s">
        <v>941</v>
      </c>
      <c r="C443" s="95">
        <v>39</v>
      </c>
      <c r="D443" s="95">
        <v>477670</v>
      </c>
      <c r="E443" s="95">
        <v>728760</v>
      </c>
      <c r="F443" s="96">
        <v>-0.34449999999999997</v>
      </c>
      <c r="G443" s="96">
        <v>0.33760000000000001</v>
      </c>
    </row>
    <row r="444" spans="1:7">
      <c r="A444" s="93" t="s">
        <v>942</v>
      </c>
      <c r="B444" s="94" t="s">
        <v>943</v>
      </c>
      <c r="C444" s="95">
        <v>0</v>
      </c>
      <c r="D444" s="95">
        <v>0</v>
      </c>
      <c r="E444" s="95">
        <v>562500</v>
      </c>
      <c r="F444" s="96">
        <v>0</v>
      </c>
      <c r="G444" s="96">
        <v>0</v>
      </c>
    </row>
    <row r="445" spans="1:7">
      <c r="A445" s="93" t="s">
        <v>944</v>
      </c>
      <c r="B445" s="94" t="s">
        <v>945</v>
      </c>
      <c r="C445" s="95">
        <v>196</v>
      </c>
      <c r="D445" s="95">
        <v>5084260</v>
      </c>
      <c r="E445" s="95">
        <v>6858210</v>
      </c>
      <c r="F445" s="96">
        <v>-0.25869999999999999</v>
      </c>
      <c r="G445" s="96">
        <v>0.25800000000000001</v>
      </c>
    </row>
    <row r="446" spans="1:7">
      <c r="A446" s="93" t="s">
        <v>946</v>
      </c>
      <c r="B446" s="94" t="s">
        <v>947</v>
      </c>
      <c r="C446" s="95">
        <v>1653</v>
      </c>
      <c r="D446" s="95">
        <v>19352370</v>
      </c>
      <c r="E446" s="95">
        <v>20626610</v>
      </c>
      <c r="F446" s="96">
        <v>-6.1800000000000001E-2</v>
      </c>
      <c r="G446" s="96">
        <v>0.29110000000000003</v>
      </c>
    </row>
    <row r="447" spans="1:7">
      <c r="A447" s="93" t="s">
        <v>141</v>
      </c>
      <c r="B447" s="94" t="s">
        <v>142</v>
      </c>
      <c r="C447" s="95">
        <v>1704</v>
      </c>
      <c r="D447" s="95">
        <v>8186680</v>
      </c>
      <c r="E447" s="95">
        <v>3406620</v>
      </c>
      <c r="F447" s="96">
        <v>1.4032</v>
      </c>
      <c r="G447" s="96">
        <v>0.37440000000000001</v>
      </c>
    </row>
    <row r="448" spans="1:7">
      <c r="A448" s="93" t="s">
        <v>948</v>
      </c>
      <c r="B448" s="94" t="s">
        <v>949</v>
      </c>
      <c r="C448" s="95">
        <v>0</v>
      </c>
      <c r="D448" s="95">
        <v>0</v>
      </c>
      <c r="E448" s="95">
        <v>17783460</v>
      </c>
      <c r="F448" s="96">
        <v>0</v>
      </c>
      <c r="G448" s="96">
        <v>0</v>
      </c>
    </row>
    <row r="449" spans="1:7">
      <c r="A449" s="93" t="s">
        <v>950</v>
      </c>
      <c r="B449" s="94" t="s">
        <v>951</v>
      </c>
      <c r="C449" s="95">
        <v>368</v>
      </c>
      <c r="D449" s="95">
        <v>19380080</v>
      </c>
      <c r="E449" s="95">
        <v>0</v>
      </c>
      <c r="F449" s="96">
        <v>0</v>
      </c>
      <c r="G449" s="96">
        <v>0.33300000000000002</v>
      </c>
    </row>
    <row r="450" spans="1:7">
      <c r="A450" s="93" t="s">
        <v>952</v>
      </c>
      <c r="B450" s="94" t="s">
        <v>953</v>
      </c>
      <c r="C450" s="95">
        <v>0</v>
      </c>
      <c r="D450" s="95">
        <v>0</v>
      </c>
      <c r="E450" s="95">
        <v>1210100</v>
      </c>
      <c r="F450" s="96">
        <v>0</v>
      </c>
      <c r="G450" s="96">
        <v>0</v>
      </c>
    </row>
    <row r="451" spans="1:7">
      <c r="A451" s="93" t="s">
        <v>954</v>
      </c>
      <c r="B451" s="94" t="s">
        <v>955</v>
      </c>
      <c r="C451" s="95">
        <v>0</v>
      </c>
      <c r="D451" s="95">
        <v>0</v>
      </c>
      <c r="E451" s="95">
        <v>58500</v>
      </c>
      <c r="F451" s="96">
        <v>0</v>
      </c>
      <c r="G451" s="96">
        <v>0</v>
      </c>
    </row>
    <row r="452" spans="1:7">
      <c r="A452" s="93" t="s">
        <v>956</v>
      </c>
      <c r="B452" s="94" t="s">
        <v>957</v>
      </c>
      <c r="C452" s="95">
        <v>46</v>
      </c>
      <c r="D452" s="95">
        <v>1317410</v>
      </c>
      <c r="E452" s="95">
        <v>5783580</v>
      </c>
      <c r="F452" s="96">
        <v>-0.7722</v>
      </c>
      <c r="G452" s="96">
        <v>0.32029999999999997</v>
      </c>
    </row>
    <row r="453" spans="1:7">
      <c r="A453" s="93" t="s">
        <v>958</v>
      </c>
      <c r="B453" s="94" t="s">
        <v>959</v>
      </c>
      <c r="C453" s="95">
        <v>20</v>
      </c>
      <c r="D453" s="95">
        <v>217540</v>
      </c>
      <c r="E453" s="95">
        <v>13500</v>
      </c>
      <c r="F453" s="96">
        <v>15.114100000000001</v>
      </c>
      <c r="G453" s="96">
        <v>0.39750000000000002</v>
      </c>
    </row>
    <row r="454" spans="1:7">
      <c r="A454" s="93" t="s">
        <v>113</v>
      </c>
      <c r="B454" s="94" t="s">
        <v>114</v>
      </c>
      <c r="C454" s="95">
        <v>542</v>
      </c>
      <c r="D454" s="95">
        <v>3284560</v>
      </c>
      <c r="E454" s="95">
        <v>3503720</v>
      </c>
      <c r="F454" s="96">
        <v>-6.2600000000000003E-2</v>
      </c>
      <c r="G454" s="96">
        <v>0.36180000000000001</v>
      </c>
    </row>
    <row r="455" spans="1:7">
      <c r="A455" s="93" t="s">
        <v>960</v>
      </c>
      <c r="B455" s="94" t="s">
        <v>961</v>
      </c>
      <c r="C455" s="95">
        <v>18</v>
      </c>
      <c r="D455" s="95">
        <v>76650</v>
      </c>
      <c r="E455" s="95">
        <v>240450</v>
      </c>
      <c r="F455" s="96">
        <v>-0.68120000000000003</v>
      </c>
      <c r="G455" s="96">
        <v>0.35709999999999997</v>
      </c>
    </row>
    <row r="456" spans="1:7">
      <c r="A456" s="93" t="s">
        <v>962</v>
      </c>
      <c r="B456" s="94" t="s">
        <v>963</v>
      </c>
      <c r="C456" s="95">
        <v>15</v>
      </c>
      <c r="D456" s="95">
        <v>120930</v>
      </c>
      <c r="E456" s="95">
        <v>415420</v>
      </c>
      <c r="F456" s="96">
        <v>-0.70889999999999997</v>
      </c>
      <c r="G456" s="96">
        <v>0.27710000000000001</v>
      </c>
    </row>
    <row r="457" spans="1:7">
      <c r="A457" s="93" t="s">
        <v>964</v>
      </c>
      <c r="B457" s="94" t="s">
        <v>965</v>
      </c>
      <c r="C457" s="95">
        <v>0</v>
      </c>
      <c r="D457" s="95">
        <v>0</v>
      </c>
      <c r="E457" s="95">
        <v>170230</v>
      </c>
      <c r="F457" s="96">
        <v>0</v>
      </c>
      <c r="G457" s="96">
        <v>0</v>
      </c>
    </row>
    <row r="458" spans="1:7">
      <c r="A458" s="93" t="s">
        <v>966</v>
      </c>
      <c r="B458" s="94" t="s">
        <v>967</v>
      </c>
      <c r="C458" s="95">
        <v>8</v>
      </c>
      <c r="D458" s="95">
        <v>94800</v>
      </c>
      <c r="E458" s="95">
        <v>0</v>
      </c>
      <c r="F458" s="96">
        <v>0</v>
      </c>
      <c r="G458" s="96">
        <v>0.37219999999999998</v>
      </c>
    </row>
    <row r="459" spans="1:7">
      <c r="A459" s="93" t="s">
        <v>968</v>
      </c>
      <c r="B459" s="94" t="s">
        <v>969</v>
      </c>
      <c r="C459" s="95">
        <v>7</v>
      </c>
      <c r="D459" s="95">
        <v>194000</v>
      </c>
      <c r="E459" s="95">
        <v>22400</v>
      </c>
      <c r="F459" s="96">
        <v>7.6607000000000003</v>
      </c>
      <c r="G459" s="96">
        <v>0.4</v>
      </c>
    </row>
    <row r="460" spans="1:7">
      <c r="A460" s="93" t="s">
        <v>970</v>
      </c>
      <c r="B460" s="94" t="s">
        <v>971</v>
      </c>
      <c r="C460" s="95">
        <v>416</v>
      </c>
      <c r="D460" s="95">
        <v>1308790</v>
      </c>
      <c r="E460" s="95">
        <v>2205690</v>
      </c>
      <c r="F460" s="96">
        <v>-0.40660000000000002</v>
      </c>
      <c r="G460" s="96">
        <v>0.39610000000000001</v>
      </c>
    </row>
    <row r="461" spans="1:7">
      <c r="A461" s="93" t="s">
        <v>972</v>
      </c>
      <c r="B461" s="94" t="s">
        <v>973</v>
      </c>
      <c r="C461" s="95">
        <v>774</v>
      </c>
      <c r="D461" s="95">
        <v>2538280</v>
      </c>
      <c r="E461" s="95">
        <v>3335800</v>
      </c>
      <c r="F461" s="96">
        <v>-0.23910000000000001</v>
      </c>
      <c r="G461" s="96">
        <v>0.35339999999999999</v>
      </c>
    </row>
    <row r="462" spans="1:7">
      <c r="A462" s="93" t="s">
        <v>974</v>
      </c>
      <c r="B462" s="94" t="s">
        <v>975</v>
      </c>
      <c r="C462" s="95">
        <v>29</v>
      </c>
      <c r="D462" s="95">
        <v>557600</v>
      </c>
      <c r="E462" s="95">
        <v>2393650</v>
      </c>
      <c r="F462" s="96">
        <v>-0.7671</v>
      </c>
      <c r="G462" s="96">
        <v>0.3125</v>
      </c>
    </row>
    <row r="463" spans="1:7">
      <c r="A463" s="93" t="s">
        <v>976</v>
      </c>
      <c r="B463" s="94" t="s">
        <v>977</v>
      </c>
      <c r="C463" s="95">
        <v>0</v>
      </c>
      <c r="D463" s="95">
        <v>0</v>
      </c>
      <c r="E463" s="95">
        <v>99710</v>
      </c>
      <c r="F463" s="96">
        <v>0</v>
      </c>
      <c r="G463" s="96">
        <v>0</v>
      </c>
    </row>
    <row r="464" spans="1:7">
      <c r="A464" s="93" t="s">
        <v>978</v>
      </c>
      <c r="B464" s="94" t="s">
        <v>979</v>
      </c>
      <c r="C464" s="95">
        <v>2</v>
      </c>
      <c r="D464" s="95">
        <v>40800</v>
      </c>
      <c r="E464" s="95">
        <v>0</v>
      </c>
      <c r="F464" s="96">
        <v>0</v>
      </c>
      <c r="G464" s="96">
        <v>0.4662</v>
      </c>
    </row>
    <row r="465" spans="1:7">
      <c r="A465" s="93" t="s">
        <v>980</v>
      </c>
      <c r="B465" s="94" t="s">
        <v>981</v>
      </c>
      <c r="C465" s="95">
        <v>0</v>
      </c>
      <c r="D465" s="95">
        <v>0</v>
      </c>
      <c r="E465" s="95">
        <v>445500</v>
      </c>
      <c r="F465" s="96">
        <v>0</v>
      </c>
      <c r="G465" s="96">
        <v>0</v>
      </c>
    </row>
    <row r="466" spans="1:7">
      <c r="A466" s="93" t="s">
        <v>982</v>
      </c>
      <c r="B466" s="94" t="s">
        <v>983</v>
      </c>
      <c r="C466" s="95">
        <v>287</v>
      </c>
      <c r="D466" s="95">
        <v>2264850</v>
      </c>
      <c r="E466" s="95">
        <v>210400</v>
      </c>
      <c r="F466" s="96">
        <v>9.7645</v>
      </c>
      <c r="G466" s="96">
        <v>0.28489999999999999</v>
      </c>
    </row>
    <row r="467" spans="1:7">
      <c r="A467" s="93" t="s">
        <v>984</v>
      </c>
      <c r="B467" s="94" t="s">
        <v>985</v>
      </c>
      <c r="C467" s="95">
        <v>308</v>
      </c>
      <c r="D467" s="95">
        <v>10362280</v>
      </c>
      <c r="E467" s="95">
        <v>0</v>
      </c>
      <c r="F467" s="96">
        <v>0</v>
      </c>
      <c r="G467" s="96">
        <v>0.17249999999999999</v>
      </c>
    </row>
    <row r="468" spans="1:7">
      <c r="A468" s="93" t="s">
        <v>986</v>
      </c>
      <c r="B468" s="94" t="s">
        <v>987</v>
      </c>
      <c r="C468" s="95">
        <v>0</v>
      </c>
      <c r="D468" s="95">
        <v>0</v>
      </c>
      <c r="E468" s="95">
        <v>81660</v>
      </c>
      <c r="F468" s="96">
        <v>0</v>
      </c>
      <c r="G468" s="96">
        <v>0</v>
      </c>
    </row>
    <row r="469" spans="1:7">
      <c r="A469" s="93" t="s">
        <v>988</v>
      </c>
      <c r="B469" s="94" t="s">
        <v>989</v>
      </c>
      <c r="C469" s="95">
        <v>138</v>
      </c>
      <c r="D469" s="95">
        <v>653010</v>
      </c>
      <c r="E469" s="95">
        <v>505100</v>
      </c>
      <c r="F469" s="96">
        <v>0.2928</v>
      </c>
      <c r="G469" s="96">
        <v>0.38350000000000001</v>
      </c>
    </row>
    <row r="470" spans="1:7">
      <c r="A470" s="93" t="s">
        <v>990</v>
      </c>
      <c r="B470" s="94" t="s">
        <v>991</v>
      </c>
      <c r="C470" s="95">
        <v>0</v>
      </c>
      <c r="D470" s="95">
        <v>0</v>
      </c>
      <c r="E470" s="95">
        <v>68000</v>
      </c>
      <c r="F470" s="96">
        <v>0</v>
      </c>
      <c r="G470" s="96">
        <v>0</v>
      </c>
    </row>
    <row r="471" spans="1:7">
      <c r="A471" s="93" t="s">
        <v>115</v>
      </c>
      <c r="B471" s="94" t="s">
        <v>992</v>
      </c>
      <c r="C471" s="95">
        <v>616</v>
      </c>
      <c r="D471" s="95">
        <v>2576940</v>
      </c>
      <c r="E471" s="95">
        <v>2521940</v>
      </c>
      <c r="F471" s="96">
        <v>2.18E-2</v>
      </c>
      <c r="G471" s="96">
        <v>0.38319999999999999</v>
      </c>
    </row>
    <row r="472" spans="1:7">
      <c r="A472" s="93" t="s">
        <v>993</v>
      </c>
      <c r="B472" s="94" t="s">
        <v>994</v>
      </c>
      <c r="C472" s="95">
        <v>258</v>
      </c>
      <c r="D472" s="95">
        <v>6697530</v>
      </c>
      <c r="E472" s="95">
        <v>8082070</v>
      </c>
      <c r="F472" s="96">
        <v>-0.17130000000000001</v>
      </c>
      <c r="G472" s="96">
        <v>0.49519999999999997</v>
      </c>
    </row>
    <row r="473" spans="1:7">
      <c r="A473" s="93" t="s">
        <v>995</v>
      </c>
      <c r="B473" s="94" t="s">
        <v>996</v>
      </c>
      <c r="C473" s="95">
        <v>8191</v>
      </c>
      <c r="D473" s="95">
        <v>23863510</v>
      </c>
      <c r="E473" s="95">
        <v>17226190</v>
      </c>
      <c r="F473" s="96">
        <v>0.38529999999999998</v>
      </c>
      <c r="G473" s="96">
        <v>0.52690000000000003</v>
      </c>
    </row>
    <row r="474" spans="1:7">
      <c r="A474" s="93" t="s">
        <v>997</v>
      </c>
      <c r="B474" s="94" t="s">
        <v>998</v>
      </c>
      <c r="C474" s="95">
        <v>884</v>
      </c>
      <c r="D474" s="95">
        <v>2723660</v>
      </c>
      <c r="E474" s="95">
        <v>2879220</v>
      </c>
      <c r="F474" s="96">
        <v>-5.3999999999999999E-2</v>
      </c>
      <c r="G474" s="96">
        <v>0.4718</v>
      </c>
    </row>
    <row r="475" spans="1:7">
      <c r="A475" s="93" t="s">
        <v>999</v>
      </c>
      <c r="B475" s="94" t="s">
        <v>1000</v>
      </c>
      <c r="C475" s="95">
        <v>4259</v>
      </c>
      <c r="D475" s="95">
        <v>15038440</v>
      </c>
      <c r="E475" s="95">
        <v>16484560</v>
      </c>
      <c r="F475" s="96">
        <v>-8.77E-2</v>
      </c>
      <c r="G475" s="96">
        <v>0.35620000000000002</v>
      </c>
    </row>
    <row r="476" spans="1:7">
      <c r="A476" s="93" t="s">
        <v>1001</v>
      </c>
      <c r="B476" s="94" t="s">
        <v>1002</v>
      </c>
      <c r="C476" s="95">
        <v>331</v>
      </c>
      <c r="D476" s="95">
        <v>633730</v>
      </c>
      <c r="E476" s="95">
        <v>375570</v>
      </c>
      <c r="F476" s="96">
        <v>0.68740000000000001</v>
      </c>
      <c r="G476" s="96">
        <v>0.2341</v>
      </c>
    </row>
    <row r="477" spans="1:7">
      <c r="A477" s="93" t="s">
        <v>1003</v>
      </c>
      <c r="B477" s="94" t="s">
        <v>1004</v>
      </c>
      <c r="C477" s="95">
        <v>12</v>
      </c>
      <c r="D477" s="95">
        <v>72340</v>
      </c>
      <c r="E477" s="95">
        <v>111250</v>
      </c>
      <c r="F477" s="96">
        <v>-0.3498</v>
      </c>
      <c r="G477" s="96">
        <v>0.21590000000000001</v>
      </c>
    </row>
    <row r="478" spans="1:7">
      <c r="A478" s="93" t="s">
        <v>1005</v>
      </c>
      <c r="B478" s="94" t="s">
        <v>1006</v>
      </c>
      <c r="C478" s="95">
        <v>88</v>
      </c>
      <c r="D478" s="95">
        <v>281730</v>
      </c>
      <c r="E478" s="95">
        <v>226130</v>
      </c>
      <c r="F478" s="96">
        <v>0.24590000000000001</v>
      </c>
      <c r="G478" s="96">
        <v>0.46589999999999998</v>
      </c>
    </row>
    <row r="479" spans="1:7">
      <c r="A479" s="93" t="s">
        <v>1007</v>
      </c>
      <c r="B479" s="94" t="s">
        <v>1008</v>
      </c>
      <c r="C479" s="95">
        <v>0</v>
      </c>
      <c r="D479" s="95">
        <v>0</v>
      </c>
      <c r="E479" s="95">
        <v>8006250</v>
      </c>
      <c r="F479" s="96">
        <v>0</v>
      </c>
      <c r="G479" s="96">
        <v>0</v>
      </c>
    </row>
    <row r="480" spans="1:7">
      <c r="A480" s="93" t="s">
        <v>1009</v>
      </c>
      <c r="B480" s="94" t="s">
        <v>1010</v>
      </c>
      <c r="C480" s="95">
        <v>0</v>
      </c>
      <c r="D480" s="95">
        <v>0</v>
      </c>
      <c r="E480" s="95">
        <v>2998840</v>
      </c>
      <c r="F480" s="96">
        <v>0</v>
      </c>
      <c r="G480" s="96">
        <v>0</v>
      </c>
    </row>
    <row r="481" spans="1:7">
      <c r="A481" s="93" t="s">
        <v>1011</v>
      </c>
      <c r="B481" s="94" t="s">
        <v>1012</v>
      </c>
      <c r="C481" s="95">
        <v>0</v>
      </c>
      <c r="D481" s="95">
        <v>0</v>
      </c>
      <c r="E481" s="95">
        <v>16100230</v>
      </c>
      <c r="F481" s="96">
        <v>0</v>
      </c>
      <c r="G481" s="96">
        <v>0</v>
      </c>
    </row>
    <row r="482" spans="1:7">
      <c r="A482" s="93" t="s">
        <v>1013</v>
      </c>
      <c r="B482" s="94" t="s">
        <v>1014</v>
      </c>
      <c r="C482" s="95">
        <v>0</v>
      </c>
      <c r="D482" s="95">
        <v>0</v>
      </c>
      <c r="E482" s="95">
        <v>13184300</v>
      </c>
      <c r="F482" s="96">
        <v>0</v>
      </c>
      <c r="G482" s="96">
        <v>0</v>
      </c>
    </row>
    <row r="483" spans="1:7">
      <c r="A483" s="93" t="s">
        <v>1015</v>
      </c>
      <c r="B483" s="94" t="s">
        <v>1016</v>
      </c>
      <c r="C483" s="95">
        <v>0</v>
      </c>
      <c r="D483" s="95">
        <v>0</v>
      </c>
      <c r="E483" s="95">
        <v>25506800</v>
      </c>
      <c r="F483" s="96">
        <v>0</v>
      </c>
      <c r="G483" s="96">
        <v>0</v>
      </c>
    </row>
    <row r="484" spans="1:7">
      <c r="A484" s="93" t="s">
        <v>1017</v>
      </c>
      <c r="B484" s="94" t="s">
        <v>1018</v>
      </c>
      <c r="C484" s="95">
        <v>2850</v>
      </c>
      <c r="D484" s="95">
        <v>8879750</v>
      </c>
      <c r="E484" s="95">
        <v>4895370</v>
      </c>
      <c r="F484" s="96">
        <v>0.81389999999999996</v>
      </c>
      <c r="G484" s="96">
        <v>0.31919999999999998</v>
      </c>
    </row>
    <row r="485" spans="1:7">
      <c r="A485" s="93" t="s">
        <v>117</v>
      </c>
      <c r="B485" s="94" t="s">
        <v>118</v>
      </c>
      <c r="C485" s="95">
        <v>3178</v>
      </c>
      <c r="D485" s="95">
        <v>15220940</v>
      </c>
      <c r="E485" s="95">
        <v>12498100</v>
      </c>
      <c r="F485" s="96">
        <v>0.21790000000000001</v>
      </c>
      <c r="G485" s="96">
        <v>0.28939999999999999</v>
      </c>
    </row>
    <row r="486" spans="1:7">
      <c r="A486" s="93" t="s">
        <v>1019</v>
      </c>
      <c r="B486" s="94" t="s">
        <v>1020</v>
      </c>
      <c r="C486" s="95">
        <v>725</v>
      </c>
      <c r="D486" s="95">
        <v>18655540</v>
      </c>
      <c r="E486" s="95">
        <v>13313000</v>
      </c>
      <c r="F486" s="96">
        <v>0.40129999999999999</v>
      </c>
      <c r="G486" s="96">
        <v>0.33150000000000002</v>
      </c>
    </row>
    <row r="487" spans="1:7">
      <c r="A487" s="93" t="s">
        <v>1021</v>
      </c>
      <c r="B487" s="94" t="s">
        <v>1022</v>
      </c>
      <c r="C487" s="95">
        <v>0</v>
      </c>
      <c r="D487" s="95">
        <v>0</v>
      </c>
      <c r="E487" s="95">
        <v>501200</v>
      </c>
      <c r="F487" s="96">
        <v>0</v>
      </c>
      <c r="G487" s="96">
        <v>0</v>
      </c>
    </row>
    <row r="488" spans="1:7">
      <c r="A488" s="93" t="s">
        <v>1023</v>
      </c>
      <c r="B488" s="94" t="s">
        <v>1024</v>
      </c>
      <c r="C488" s="95">
        <v>13</v>
      </c>
      <c r="D488" s="95">
        <v>198600</v>
      </c>
      <c r="E488" s="95">
        <v>0</v>
      </c>
      <c r="F488" s="96">
        <v>0</v>
      </c>
      <c r="G488" s="96">
        <v>0.2747</v>
      </c>
    </row>
    <row r="489" spans="1:7">
      <c r="A489" s="93" t="s">
        <v>119</v>
      </c>
      <c r="B489" s="94" t="s">
        <v>120</v>
      </c>
      <c r="C489" s="95">
        <v>96</v>
      </c>
      <c r="D489" s="95">
        <v>2026910</v>
      </c>
      <c r="E489" s="95">
        <v>2537030</v>
      </c>
      <c r="F489" s="96">
        <v>-0.2011</v>
      </c>
      <c r="G489" s="96">
        <v>0.373</v>
      </c>
    </row>
    <row r="490" spans="1:7">
      <c r="A490" s="93" t="s">
        <v>1025</v>
      </c>
      <c r="B490" s="94" t="s">
        <v>1026</v>
      </c>
      <c r="C490" s="95">
        <v>0</v>
      </c>
      <c r="D490" s="95">
        <v>0</v>
      </c>
      <c r="E490" s="95">
        <v>404830</v>
      </c>
      <c r="F490" s="96">
        <v>0</v>
      </c>
      <c r="G490" s="96">
        <v>0</v>
      </c>
    </row>
    <row r="491" spans="1:7">
      <c r="A491" s="93" t="s">
        <v>1027</v>
      </c>
      <c r="B491" s="94" t="s">
        <v>1028</v>
      </c>
      <c r="C491" s="95">
        <v>0</v>
      </c>
      <c r="D491" s="95">
        <v>0</v>
      </c>
      <c r="E491" s="95">
        <v>379400</v>
      </c>
      <c r="F491" s="96">
        <v>0</v>
      </c>
      <c r="G491" s="96">
        <v>0</v>
      </c>
    </row>
    <row r="492" spans="1:7">
      <c r="A492" s="93" t="s">
        <v>1029</v>
      </c>
      <c r="B492" s="94" t="s">
        <v>1030</v>
      </c>
      <c r="C492" s="95">
        <v>346</v>
      </c>
      <c r="D492" s="95">
        <v>3555750</v>
      </c>
      <c r="E492" s="95">
        <v>9040980</v>
      </c>
      <c r="F492" s="96">
        <v>-0.60670000000000002</v>
      </c>
      <c r="G492" s="96">
        <v>0.28549999999999998</v>
      </c>
    </row>
    <row r="493" spans="1:7">
      <c r="A493" s="93" t="s">
        <v>1031</v>
      </c>
      <c r="B493" s="94" t="s">
        <v>1032</v>
      </c>
      <c r="C493" s="95">
        <v>120</v>
      </c>
      <c r="D493" s="95">
        <v>2711530</v>
      </c>
      <c r="E493" s="95">
        <v>0</v>
      </c>
      <c r="F493" s="96">
        <v>0</v>
      </c>
      <c r="G493" s="96">
        <v>0.28079999999999999</v>
      </c>
    </row>
    <row r="494" spans="1:7">
      <c r="A494" s="93" t="s">
        <v>1033</v>
      </c>
      <c r="B494" s="94" t="s">
        <v>1034</v>
      </c>
      <c r="C494" s="95">
        <v>35</v>
      </c>
      <c r="D494" s="95">
        <v>184220</v>
      </c>
      <c r="E494" s="95">
        <v>258880</v>
      </c>
      <c r="F494" s="96">
        <v>-0.28839999999999999</v>
      </c>
      <c r="G494" s="96">
        <v>0.53610000000000002</v>
      </c>
    </row>
    <row r="495" spans="1:7">
      <c r="A495" s="93" t="s">
        <v>1035</v>
      </c>
      <c r="B495" s="94" t="s">
        <v>1036</v>
      </c>
      <c r="C495" s="95">
        <v>72</v>
      </c>
      <c r="D495" s="95">
        <v>1991670</v>
      </c>
      <c r="E495" s="95">
        <v>0</v>
      </c>
      <c r="F495" s="96">
        <v>0</v>
      </c>
      <c r="G495" s="96">
        <v>0.2457</v>
      </c>
    </row>
    <row r="496" spans="1:7">
      <c r="A496" s="93" t="s">
        <v>1037</v>
      </c>
      <c r="B496" s="94" t="s">
        <v>1038</v>
      </c>
      <c r="C496" s="95">
        <v>4</v>
      </c>
      <c r="D496" s="95">
        <v>5930</v>
      </c>
      <c r="E496" s="95">
        <v>35590</v>
      </c>
      <c r="F496" s="96">
        <v>-0.83340000000000003</v>
      </c>
      <c r="G496" s="96">
        <v>0.5514</v>
      </c>
    </row>
    <row r="497" spans="1:7">
      <c r="A497" s="93" t="s">
        <v>1039</v>
      </c>
      <c r="B497" s="94" t="s">
        <v>1040</v>
      </c>
      <c r="C497" s="95">
        <v>885</v>
      </c>
      <c r="D497" s="95">
        <v>17726390</v>
      </c>
      <c r="E497" s="95">
        <v>18253610</v>
      </c>
      <c r="F497" s="96">
        <v>-2.8899999999999999E-2</v>
      </c>
      <c r="G497" s="96">
        <v>0.2361</v>
      </c>
    </row>
    <row r="498" spans="1:7">
      <c r="A498" s="93" t="s">
        <v>143</v>
      </c>
      <c r="B498" s="94" t="s">
        <v>144</v>
      </c>
      <c r="C498" s="95">
        <v>196</v>
      </c>
      <c r="D498" s="95">
        <v>2445440</v>
      </c>
      <c r="E498" s="95">
        <v>4300400</v>
      </c>
      <c r="F498" s="96">
        <v>-0.43130000000000002</v>
      </c>
      <c r="G498" s="96">
        <v>0.3498</v>
      </c>
    </row>
    <row r="499" spans="1:7">
      <c r="A499" s="93" t="s">
        <v>1041</v>
      </c>
      <c r="B499" s="94" t="s">
        <v>1042</v>
      </c>
      <c r="C499" s="95">
        <v>0</v>
      </c>
      <c r="D499" s="95">
        <v>0</v>
      </c>
      <c r="E499" s="95">
        <v>1068980</v>
      </c>
      <c r="F499" s="96">
        <v>0</v>
      </c>
      <c r="G499" s="96">
        <v>0</v>
      </c>
    </row>
    <row r="500" spans="1:7">
      <c r="A500" s="97" t="s">
        <v>1043</v>
      </c>
      <c r="B500" s="98" t="s">
        <v>1044</v>
      </c>
      <c r="C500" s="99">
        <v>260462</v>
      </c>
      <c r="D500" s="99">
        <v>1852430540</v>
      </c>
      <c r="E500" s="99">
        <v>1638198800</v>
      </c>
      <c r="F500" s="100">
        <v>0</v>
      </c>
      <c r="G500" s="100">
        <v>0.1308</v>
      </c>
    </row>
  </sheetData>
  <mergeCells count="7">
    <mergeCell ref="A1:G1"/>
    <mergeCell ref="A2:G2"/>
    <mergeCell ref="A3:G3"/>
    <mergeCell ref="A4:G4"/>
    <mergeCell ref="A5:A6"/>
    <mergeCell ref="B5:B6"/>
    <mergeCell ref="C5:G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173"/>
  <sheetViews>
    <sheetView tabSelected="1" zoomScale="85" zoomScaleNormal="85" workbookViewId="0">
      <selection activeCell="L95" sqref="L95"/>
    </sheetView>
  </sheetViews>
  <sheetFormatPr defaultColWidth="9" defaultRowHeight="16.5"/>
  <cols>
    <col min="1" max="1" width="9" style="9"/>
    <col min="2" max="2" width="11" style="9" bestFit="1" customWidth="1"/>
    <col min="3" max="3" width="16.25" style="9" customWidth="1"/>
    <col min="4" max="4" width="12" style="9" customWidth="1"/>
    <col min="5" max="6" width="14" style="9" customWidth="1"/>
    <col min="9" max="9" width="11.5" style="9" customWidth="1"/>
    <col min="10" max="10" width="4.375" style="9" customWidth="1"/>
    <col min="11" max="11" width="9" customWidth="1"/>
    <col min="12" max="12" width="10" bestFit="1" customWidth="1"/>
    <col min="13" max="13" width="2.625" customWidth="1"/>
  </cols>
  <sheetData>
    <row r="1" spans="1:50" ht="17.25" thickBot="1">
      <c r="A1" s="2"/>
      <c r="B1" s="1" t="s">
        <v>11</v>
      </c>
      <c r="C1" s="1"/>
      <c r="D1" s="1"/>
      <c r="E1" s="1"/>
      <c r="F1" s="4"/>
    </row>
    <row r="2" spans="1:50" ht="57.75" customHeight="1">
      <c r="A2" s="48" t="s">
        <v>0</v>
      </c>
      <c r="B2" s="52" t="s">
        <v>157</v>
      </c>
      <c r="C2" s="50" t="s">
        <v>8</v>
      </c>
      <c r="D2" s="59" t="s">
        <v>159</v>
      </c>
      <c r="E2" s="60"/>
      <c r="F2"/>
      <c r="I2" s="61" t="s">
        <v>16</v>
      </c>
      <c r="J2" s="61"/>
    </row>
    <row r="3" spans="1:50" ht="17.25" thickBot="1">
      <c r="A3" s="49" t="s">
        <v>6</v>
      </c>
      <c r="B3" s="53" t="s">
        <v>158</v>
      </c>
      <c r="C3" s="51" t="s">
        <v>7</v>
      </c>
      <c r="D3" s="62">
        <f>개별내역!E9</f>
        <v>18513674.300000001</v>
      </c>
      <c r="E3" s="63"/>
      <c r="F3"/>
    </row>
    <row r="4" spans="1:50">
      <c r="A4" s="23"/>
      <c r="B4" s="23"/>
      <c r="C4" s="23"/>
      <c r="D4" s="23"/>
      <c r="E4" s="23"/>
      <c r="F4" s="29"/>
      <c r="G4" s="33"/>
      <c r="H4" s="34"/>
      <c r="I4" s="34"/>
      <c r="J4" s="33"/>
      <c r="K4" s="57" t="s">
        <v>9</v>
      </c>
      <c r="L4" s="57"/>
      <c r="M4" s="33"/>
    </row>
    <row r="5" spans="1:50" ht="17.45" customHeight="1">
      <c r="A5" s="35" t="s">
        <v>1</v>
      </c>
      <c r="B5" s="35" t="s">
        <v>2</v>
      </c>
      <c r="C5" s="35" t="s">
        <v>3</v>
      </c>
      <c r="D5" s="35" t="s">
        <v>5</v>
      </c>
      <c r="E5" s="35" t="s">
        <v>4</v>
      </c>
      <c r="F5" s="35" t="s">
        <v>12</v>
      </c>
      <c r="G5" s="24" t="s">
        <v>10</v>
      </c>
      <c r="H5" s="36" t="s">
        <v>22</v>
      </c>
      <c r="I5" s="36" t="s">
        <v>150</v>
      </c>
      <c r="J5" s="33"/>
      <c r="K5" s="37" t="s">
        <v>2</v>
      </c>
      <c r="L5" s="37" t="s">
        <v>151</v>
      </c>
      <c r="M5" s="33"/>
      <c r="N5" t="s">
        <v>1049</v>
      </c>
    </row>
    <row r="6" spans="1:50" s="5" customFormat="1" ht="17.45" customHeight="1">
      <c r="A6" s="25">
        <v>1</v>
      </c>
      <c r="B6" s="31" t="s">
        <v>28</v>
      </c>
      <c r="C6" s="32" t="s">
        <v>29</v>
      </c>
      <c r="D6" s="12">
        <f>VLOOKUP(B6,'2월매출'!$A$7:$D$499,4,FALSE)</f>
        <v>1316370</v>
      </c>
      <c r="E6" s="11">
        <f t="shared" ref="E6:E38" si="0">(D6/$D$68*100)%*$D$3</f>
        <v>76831.285794243056</v>
      </c>
      <c r="F6" s="28">
        <f t="shared" ref="F6:F38" si="1">D6/$D$68</f>
        <v>4.1499750157235433E-3</v>
      </c>
      <c r="G6" s="38">
        <f>IFERROR(E6/D6,0)</f>
        <v>5.8366026112903709E-2</v>
      </c>
      <c r="H6" s="39"/>
      <c r="I6" s="39"/>
      <c r="J6" s="40"/>
      <c r="K6" s="10" t="s">
        <v>28</v>
      </c>
      <c r="L6" s="27">
        <f>E6</f>
        <v>76831.285794243056</v>
      </c>
      <c r="M6" s="33"/>
      <c r="N6" t="s">
        <v>1050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</row>
    <row r="7" spans="1:50" s="5" customFormat="1">
      <c r="A7" s="25">
        <v>2</v>
      </c>
      <c r="B7" s="31" t="s">
        <v>30</v>
      </c>
      <c r="C7" s="32" t="s">
        <v>31</v>
      </c>
      <c r="D7" s="12">
        <f>VLOOKUP(B7,'2월매출'!$A$7:$D$499,4,FALSE)</f>
        <v>2146540</v>
      </c>
      <c r="E7" s="11">
        <f t="shared" si="0"/>
        <v>125285.00969239234</v>
      </c>
      <c r="F7" s="28">
        <f t="shared" si="1"/>
        <v>6.7671607300768127E-3</v>
      </c>
      <c r="G7" s="38">
        <f t="shared" ref="G7:G61" si="2">IFERROR(E7/D7,0)</f>
        <v>5.8366026112903716E-2</v>
      </c>
      <c r="H7" s="39"/>
      <c r="I7" s="39"/>
      <c r="J7" s="40"/>
      <c r="K7" s="10" t="s">
        <v>30</v>
      </c>
      <c r="L7" s="27">
        <f t="shared" ref="L7:L67" si="3">E7</f>
        <v>125285.00969239234</v>
      </c>
      <c r="M7" s="33"/>
      <c r="N7" t="s">
        <v>1051</v>
      </c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</row>
    <row r="8" spans="1:50" s="5" customFormat="1">
      <c r="A8" s="25">
        <v>3</v>
      </c>
      <c r="B8" s="31" t="s">
        <v>32</v>
      </c>
      <c r="C8" s="32" t="s">
        <v>33</v>
      </c>
      <c r="D8" s="12">
        <f>VLOOKUP(B8,'2월매출'!$A$7:$D$499,4,FALSE)</f>
        <v>1519590</v>
      </c>
      <c r="E8" s="11">
        <f t="shared" si="0"/>
        <v>88692.429620907351</v>
      </c>
      <c r="F8" s="28">
        <f t="shared" si="1"/>
        <v>4.7906443736512828E-3</v>
      </c>
      <c r="G8" s="38">
        <f t="shared" si="2"/>
        <v>5.8366026112903709E-2</v>
      </c>
      <c r="H8" s="39"/>
      <c r="I8" s="39"/>
      <c r="J8" s="40"/>
      <c r="K8" s="10" t="s">
        <v>32</v>
      </c>
      <c r="L8" s="27">
        <f t="shared" si="3"/>
        <v>88692.429620907351</v>
      </c>
      <c r="M8" s="33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</row>
    <row r="9" spans="1:50" s="5" customFormat="1">
      <c r="A9" s="25">
        <v>4</v>
      </c>
      <c r="B9" s="31" t="s">
        <v>34</v>
      </c>
      <c r="C9" s="32" t="s">
        <v>35</v>
      </c>
      <c r="D9" s="12">
        <f>VLOOKUP(B9,'2월매출'!$A$7:$D$499,4,FALSE)</f>
        <v>2874840</v>
      </c>
      <c r="E9" s="11">
        <f t="shared" si="0"/>
        <v>167792.9865104201</v>
      </c>
      <c r="F9" s="28">
        <f t="shared" si="1"/>
        <v>9.0631920920430202E-3</v>
      </c>
      <c r="G9" s="38">
        <f t="shared" si="2"/>
        <v>5.8366026112903709E-2</v>
      </c>
      <c r="H9" s="39"/>
      <c r="I9" s="39"/>
      <c r="J9" s="40"/>
      <c r="K9" s="10" t="s">
        <v>34</v>
      </c>
      <c r="L9" s="27">
        <f t="shared" si="3"/>
        <v>167792.9865104201</v>
      </c>
      <c r="M9" s="33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</row>
    <row r="10" spans="1:50" s="5" customFormat="1">
      <c r="A10" s="25">
        <v>5</v>
      </c>
      <c r="B10" s="31" t="s">
        <v>36</v>
      </c>
      <c r="C10" s="32" t="s">
        <v>37</v>
      </c>
      <c r="D10" s="12">
        <f>VLOOKUP(B10,'2월매출'!$A$7:$D$499,4,FALSE)</f>
        <v>3353020</v>
      </c>
      <c r="E10" s="11">
        <f t="shared" si="0"/>
        <v>195702.45287708839</v>
      </c>
      <c r="F10" s="28">
        <f t="shared" si="1"/>
        <v>1.0570697620897889E-2</v>
      </c>
      <c r="G10" s="38">
        <f t="shared" si="2"/>
        <v>5.8366026112903709E-2</v>
      </c>
      <c r="H10" s="39"/>
      <c r="I10" s="39"/>
      <c r="J10" s="40"/>
      <c r="K10" s="10" t="s">
        <v>36</v>
      </c>
      <c r="L10" s="27">
        <f t="shared" si="3"/>
        <v>195702.45287708839</v>
      </c>
      <c r="M10" s="33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</row>
    <row r="11" spans="1:50" s="5" customFormat="1">
      <c r="A11" s="25">
        <v>6</v>
      </c>
      <c r="B11" s="31" t="s">
        <v>38</v>
      </c>
      <c r="C11" s="32" t="s">
        <v>39</v>
      </c>
      <c r="D11" s="12">
        <f>VLOOKUP(B11,'2월매출'!$A$7:$D$499,4,FALSE)</f>
        <v>3231320</v>
      </c>
      <c r="E11" s="11">
        <f t="shared" si="0"/>
        <v>188599.30749914801</v>
      </c>
      <c r="F11" s="28">
        <f t="shared" si="1"/>
        <v>1.018702740704194E-2</v>
      </c>
      <c r="G11" s="38">
        <f t="shared" si="2"/>
        <v>5.8366026112903709E-2</v>
      </c>
      <c r="H11" s="39"/>
      <c r="I11" s="39"/>
      <c r="J11" s="40"/>
      <c r="K11" s="10" t="s">
        <v>38</v>
      </c>
      <c r="L11" s="27">
        <f t="shared" si="3"/>
        <v>188599.30749914801</v>
      </c>
      <c r="M11" s="33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s="5" customFormat="1">
      <c r="A12" s="25">
        <v>7</v>
      </c>
      <c r="B12" s="31" t="s">
        <v>40</v>
      </c>
      <c r="C12" s="32" t="s">
        <v>41</v>
      </c>
      <c r="D12" s="12">
        <f>VLOOKUP(B12,'2월매출'!$A$7:$D$499,4,FALSE)</f>
        <v>1860110</v>
      </c>
      <c r="E12" s="11">
        <f t="shared" si="0"/>
        <v>108567.2288328733</v>
      </c>
      <c r="F12" s="28">
        <f t="shared" si="1"/>
        <v>5.86416435082653E-3</v>
      </c>
      <c r="G12" s="38">
        <f t="shared" si="2"/>
        <v>5.8366026112903695E-2</v>
      </c>
      <c r="H12" s="39"/>
      <c r="I12" s="39"/>
      <c r="J12" s="40"/>
      <c r="K12" s="10" t="s">
        <v>40</v>
      </c>
      <c r="L12" s="27">
        <f t="shared" si="3"/>
        <v>108567.2288328733</v>
      </c>
      <c r="M12" s="33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s="112" customFormat="1">
      <c r="A13" s="101">
        <v>8</v>
      </c>
      <c r="B13" s="113" t="s">
        <v>1046</v>
      </c>
      <c r="C13" s="102" t="s">
        <v>1045</v>
      </c>
      <c r="D13" s="103">
        <f>VLOOKUP(B13,'2월매출'!$A$7:$D$499,4,FALSE)</f>
        <v>17616460</v>
      </c>
      <c r="E13" s="104">
        <f t="shared" ref="E13:E14" si="4">(D13/$D$68*100)%*$D$3</f>
        <v>1028202.7643769238</v>
      </c>
      <c r="F13" s="105">
        <f t="shared" ref="F13:F14" si="5">D13/$D$68</f>
        <v>5.5537477202832919E-2</v>
      </c>
      <c r="G13" s="106">
        <f t="shared" ref="G13:G14" si="6">IFERROR(E13/D13,0)</f>
        <v>5.8366026112903716E-2</v>
      </c>
      <c r="H13" s="107"/>
      <c r="I13" s="107"/>
      <c r="J13" s="108"/>
      <c r="K13" s="113" t="s">
        <v>1046</v>
      </c>
      <c r="L13" s="110">
        <f t="shared" si="3"/>
        <v>1028202.7643769238</v>
      </c>
      <c r="M13" s="111"/>
    </row>
    <row r="14" spans="1:50" s="5" customFormat="1">
      <c r="A14" s="25">
        <v>9</v>
      </c>
      <c r="B14" s="31" t="s">
        <v>42</v>
      </c>
      <c r="C14" s="32" t="s">
        <v>43</v>
      </c>
      <c r="D14" s="12">
        <f>VLOOKUP(B14,'2월매출'!$A$7:$D$499,4,FALSE)</f>
        <v>3288170</v>
      </c>
      <c r="E14" s="11">
        <f t="shared" si="4"/>
        <v>191917.41608366658</v>
      </c>
      <c r="F14" s="28">
        <f t="shared" si="5"/>
        <v>1.0366252153613104E-2</v>
      </c>
      <c r="G14" s="38">
        <f t="shared" si="6"/>
        <v>5.8366026112903709E-2</v>
      </c>
      <c r="H14" s="39"/>
      <c r="I14" s="39"/>
      <c r="J14" s="40"/>
      <c r="K14" s="10" t="s">
        <v>42</v>
      </c>
      <c r="L14" s="27">
        <f t="shared" si="3"/>
        <v>191917.41608366658</v>
      </c>
      <c r="M14" s="33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s="5" customFormat="1">
      <c r="A15" s="25">
        <v>10</v>
      </c>
      <c r="B15" s="31" t="s">
        <v>44</v>
      </c>
      <c r="C15" s="32" t="s">
        <v>45</v>
      </c>
      <c r="D15" s="12">
        <f>VLOOKUP(B15,'2월매출'!$A$7:$D$499,4,FALSE)</f>
        <v>2122860</v>
      </c>
      <c r="E15" s="11">
        <f t="shared" si="0"/>
        <v>123902.90219403878</v>
      </c>
      <c r="F15" s="28">
        <f t="shared" si="1"/>
        <v>6.6925073967644966E-3</v>
      </c>
      <c r="G15" s="38">
        <f t="shared" si="2"/>
        <v>5.8366026112903716E-2</v>
      </c>
      <c r="H15" s="39"/>
      <c r="I15" s="39"/>
      <c r="J15" s="40"/>
      <c r="K15" s="10" t="s">
        <v>44</v>
      </c>
      <c r="L15" s="27">
        <f t="shared" si="3"/>
        <v>123902.90219403878</v>
      </c>
      <c r="M15" s="33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s="5" customFormat="1">
      <c r="A16" s="25">
        <v>11</v>
      </c>
      <c r="B16" s="31" t="s">
        <v>46</v>
      </c>
      <c r="C16" s="32" t="s">
        <v>47</v>
      </c>
      <c r="D16" s="12">
        <f>VLOOKUP(B16,'2월매출'!$A$7:$D$499,4,FALSE)</f>
        <v>642520</v>
      </c>
      <c r="E16" s="11">
        <f t="shared" si="0"/>
        <v>37501.33909806289</v>
      </c>
      <c r="F16" s="28">
        <f t="shared" si="1"/>
        <v>2.0256021841144139E-3</v>
      </c>
      <c r="G16" s="38">
        <f t="shared" si="2"/>
        <v>5.8366026112903709E-2</v>
      </c>
      <c r="H16" s="39"/>
      <c r="I16" s="39"/>
      <c r="J16" s="40"/>
      <c r="K16" s="10" t="s">
        <v>46</v>
      </c>
      <c r="L16" s="27">
        <f t="shared" si="3"/>
        <v>37501.33909806289</v>
      </c>
      <c r="M16" s="33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</row>
    <row r="17" spans="1:50" s="5" customFormat="1">
      <c r="A17" s="25">
        <v>12</v>
      </c>
      <c r="B17" s="31" t="s">
        <v>48</v>
      </c>
      <c r="C17" s="32" t="s">
        <v>49</v>
      </c>
      <c r="D17" s="12">
        <f>VLOOKUP(B17,'2월매출'!$A$7:$D$499,4,FALSE)</f>
        <v>1786780</v>
      </c>
      <c r="E17" s="11">
        <f t="shared" si="0"/>
        <v>104287.2481380141</v>
      </c>
      <c r="F17" s="28">
        <f t="shared" si="1"/>
        <v>5.6329849195853087E-3</v>
      </c>
      <c r="G17" s="38">
        <f t="shared" si="2"/>
        <v>5.8366026112903716E-2</v>
      </c>
      <c r="H17" s="39"/>
      <c r="I17" s="39"/>
      <c r="J17" s="40"/>
      <c r="K17" s="10" t="s">
        <v>48</v>
      </c>
      <c r="L17" s="27">
        <f t="shared" si="3"/>
        <v>104287.2481380141</v>
      </c>
      <c r="M17" s="33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</row>
    <row r="18" spans="1:50" s="5" customFormat="1">
      <c r="A18" s="25">
        <v>13</v>
      </c>
      <c r="B18" s="31" t="s">
        <v>50</v>
      </c>
      <c r="C18" s="32" t="s">
        <v>51</v>
      </c>
      <c r="D18" s="12">
        <f>VLOOKUP(B18,'2월매출'!$A$7:$D$499,4,FALSE)</f>
        <v>1354810</v>
      </c>
      <c r="E18" s="11">
        <f t="shared" si="0"/>
        <v>79074.875838023072</v>
      </c>
      <c r="F18" s="28">
        <f t="shared" si="1"/>
        <v>4.2711605787524882E-3</v>
      </c>
      <c r="G18" s="38">
        <f t="shared" si="2"/>
        <v>5.8366026112903709E-2</v>
      </c>
      <c r="H18" s="39"/>
      <c r="I18" s="39"/>
      <c r="J18" s="40"/>
      <c r="K18" s="10" t="s">
        <v>50</v>
      </c>
      <c r="L18" s="27">
        <f t="shared" si="3"/>
        <v>79074.875838023072</v>
      </c>
      <c r="M18" s="33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</row>
    <row r="19" spans="1:50" s="5" customFormat="1">
      <c r="A19" s="25">
        <v>14</v>
      </c>
      <c r="B19" s="31" t="s">
        <v>52</v>
      </c>
      <c r="C19" s="32" t="s">
        <v>53</v>
      </c>
      <c r="D19" s="12">
        <f>VLOOKUP(B19,'2월매출'!$A$7:$D$499,4,FALSE)</f>
        <v>12283310</v>
      </c>
      <c r="E19" s="11">
        <f t="shared" si="0"/>
        <v>716927.99221289135</v>
      </c>
      <c r="F19" s="28">
        <f t="shared" si="1"/>
        <v>3.8724241368602412E-2</v>
      </c>
      <c r="G19" s="38">
        <f t="shared" si="2"/>
        <v>5.8366026112903716E-2</v>
      </c>
      <c r="H19" s="39"/>
      <c r="I19" s="39"/>
      <c r="J19" s="40"/>
      <c r="K19" s="10" t="s">
        <v>52</v>
      </c>
      <c r="L19" s="27">
        <f t="shared" si="3"/>
        <v>716927.99221289135</v>
      </c>
      <c r="M19" s="33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</row>
    <row r="20" spans="1:50" s="5" customFormat="1">
      <c r="A20" s="25">
        <v>15</v>
      </c>
      <c r="B20" s="31" t="s">
        <v>54</v>
      </c>
      <c r="C20" s="32" t="s">
        <v>55</v>
      </c>
      <c r="D20" s="12">
        <f>VLOOKUP(B20,'2월매출'!$A$7:$D$499,4,FALSE)</f>
        <v>3138900</v>
      </c>
      <c r="E20" s="11">
        <f t="shared" si="0"/>
        <v>183205.11936579348</v>
      </c>
      <c r="F20" s="28">
        <f t="shared" si="1"/>
        <v>9.8956650309978429E-3</v>
      </c>
      <c r="G20" s="38">
        <f t="shared" si="2"/>
        <v>5.8366026112903716E-2</v>
      </c>
      <c r="H20" s="39"/>
      <c r="I20" s="39"/>
      <c r="J20" s="40"/>
      <c r="K20" s="10" t="s">
        <v>54</v>
      </c>
      <c r="L20" s="27">
        <f t="shared" si="3"/>
        <v>183205.11936579348</v>
      </c>
      <c r="M20" s="33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</row>
    <row r="21" spans="1:50" s="5" customFormat="1">
      <c r="A21" s="25">
        <v>16</v>
      </c>
      <c r="B21" s="31" t="s">
        <v>56</v>
      </c>
      <c r="C21" s="32" t="s">
        <v>57</v>
      </c>
      <c r="D21" s="12">
        <f>VLOOKUP(B21,'2월매출'!$A$7:$D$499,4,FALSE)</f>
        <v>2712580</v>
      </c>
      <c r="E21" s="11">
        <f t="shared" si="0"/>
        <v>158322.51511334034</v>
      </c>
      <c r="F21" s="28">
        <f t="shared" si="1"/>
        <v>8.5516528241690159E-3</v>
      </c>
      <c r="G21" s="38">
        <f t="shared" si="2"/>
        <v>5.8366026112903709E-2</v>
      </c>
      <c r="H21" s="39"/>
      <c r="I21" s="39"/>
      <c r="J21" s="40"/>
      <c r="K21" s="10" t="s">
        <v>56</v>
      </c>
      <c r="L21" s="27">
        <f t="shared" si="3"/>
        <v>158322.51511334034</v>
      </c>
      <c r="M21" s="33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</row>
    <row r="22" spans="1:50" s="112" customFormat="1">
      <c r="A22" s="101">
        <v>17</v>
      </c>
      <c r="B22" s="101" t="s">
        <v>58</v>
      </c>
      <c r="C22" s="102" t="s">
        <v>59</v>
      </c>
      <c r="D22" s="103">
        <f>VLOOKUP(B22,'2월매출'!$A$7:$D$499,4,FALSE)</f>
        <v>0</v>
      </c>
      <c r="E22" s="104">
        <f t="shared" si="0"/>
        <v>0</v>
      </c>
      <c r="F22" s="105">
        <f t="shared" si="1"/>
        <v>0</v>
      </c>
      <c r="G22" s="106">
        <f t="shared" si="2"/>
        <v>0</v>
      </c>
      <c r="H22" s="107"/>
      <c r="I22" s="107"/>
      <c r="J22" s="108"/>
      <c r="K22" s="109" t="s">
        <v>58</v>
      </c>
      <c r="L22" s="110">
        <f t="shared" si="3"/>
        <v>0</v>
      </c>
      <c r="M22" s="111"/>
    </row>
    <row r="23" spans="1:50" s="5" customFormat="1">
      <c r="A23" s="25">
        <v>18</v>
      </c>
      <c r="B23" s="31" t="s">
        <v>60</v>
      </c>
      <c r="C23" s="32" t="s">
        <v>61</v>
      </c>
      <c r="D23" s="12">
        <f>VLOOKUP(B23,'2월매출'!$A$7:$D$499,4,FALSE)</f>
        <v>11309300</v>
      </c>
      <c r="E23" s="11">
        <f t="shared" si="0"/>
        <v>660078.899118662</v>
      </c>
      <c r="F23" s="28">
        <f t="shared" si="1"/>
        <v>3.565358709581825E-2</v>
      </c>
      <c r="G23" s="38">
        <f t="shared" si="2"/>
        <v>5.8366026112903716E-2</v>
      </c>
      <c r="H23" s="39"/>
      <c r="I23" s="39"/>
      <c r="J23" s="40"/>
      <c r="K23" s="10" t="s">
        <v>60</v>
      </c>
      <c r="L23" s="27">
        <f t="shared" si="3"/>
        <v>660078.899118662</v>
      </c>
      <c r="M23" s="3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</row>
    <row r="24" spans="1:50" s="5" customFormat="1">
      <c r="A24" s="25">
        <v>19</v>
      </c>
      <c r="B24" s="31" t="s">
        <v>62</v>
      </c>
      <c r="C24" s="32" t="s">
        <v>63</v>
      </c>
      <c r="D24" s="12">
        <f>VLOOKUP(B24,'2월매출'!$A$7:$D$499,4,FALSE)</f>
        <v>605990</v>
      </c>
      <c r="E24" s="11">
        <f t="shared" si="0"/>
        <v>35369.228164158521</v>
      </c>
      <c r="F24" s="28">
        <f t="shared" si="1"/>
        <v>1.9104380681558451E-3</v>
      </c>
      <c r="G24" s="38">
        <f t="shared" si="2"/>
        <v>5.8366026112903716E-2</v>
      </c>
      <c r="H24" s="39"/>
      <c r="I24" s="39"/>
      <c r="J24" s="40"/>
      <c r="K24" s="10" t="s">
        <v>62</v>
      </c>
      <c r="L24" s="27">
        <f t="shared" si="3"/>
        <v>35369.228164158521</v>
      </c>
      <c r="M24" s="33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</row>
    <row r="25" spans="1:50" s="5" customFormat="1">
      <c r="A25" s="25">
        <v>20</v>
      </c>
      <c r="B25" s="31" t="s">
        <v>64</v>
      </c>
      <c r="C25" s="32" t="s">
        <v>65</v>
      </c>
      <c r="D25" s="12">
        <f>VLOOKUP(B25,'2월매출'!$A$7:$D$499,4,FALSE)</f>
        <v>1197430</v>
      </c>
      <c r="E25" s="11">
        <f t="shared" si="0"/>
        <v>69889.230648374287</v>
      </c>
      <c r="F25" s="28">
        <f t="shared" si="1"/>
        <v>3.7750059505137932E-3</v>
      </c>
      <c r="G25" s="38">
        <f t="shared" si="2"/>
        <v>5.8366026112903709E-2</v>
      </c>
      <c r="H25" s="39"/>
      <c r="I25" s="39"/>
      <c r="J25" s="40"/>
      <c r="K25" s="10" t="s">
        <v>64</v>
      </c>
      <c r="L25" s="27">
        <f t="shared" si="3"/>
        <v>69889.230648374287</v>
      </c>
      <c r="M25" s="33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</row>
    <row r="26" spans="1:50" s="5" customFormat="1">
      <c r="A26" s="25">
        <v>21</v>
      </c>
      <c r="B26" s="31" t="s">
        <v>66</v>
      </c>
      <c r="C26" s="32" t="s">
        <v>67</v>
      </c>
      <c r="D26" s="12">
        <f>VLOOKUP(B26,'2월매출'!$A$7:$D$499,4,FALSE)</f>
        <v>8418860</v>
      </c>
      <c r="E26" s="11">
        <f t="shared" si="0"/>
        <v>491375.40260088054</v>
      </c>
      <c r="F26" s="28">
        <f t="shared" si="1"/>
        <v>2.6541214598383666E-2</v>
      </c>
      <c r="G26" s="38">
        <f t="shared" si="2"/>
        <v>5.8366026112903709E-2</v>
      </c>
      <c r="H26" s="39"/>
      <c r="I26" s="39"/>
      <c r="J26" s="40"/>
      <c r="K26" s="10" t="s">
        <v>66</v>
      </c>
      <c r="L26" s="27">
        <f t="shared" si="3"/>
        <v>491375.40260088054</v>
      </c>
      <c r="M26" s="33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1:50" s="5" customFormat="1">
      <c r="A27" s="25">
        <v>22</v>
      </c>
      <c r="B27" s="31" t="s">
        <v>68</v>
      </c>
      <c r="C27" s="32" t="s">
        <v>69</v>
      </c>
      <c r="D27" s="12">
        <f>VLOOKUP(B27,'2월매출'!$A$7:$D$499,4,FALSE)</f>
        <v>12482440</v>
      </c>
      <c r="E27" s="11">
        <f t="shared" si="0"/>
        <v>728550.41899275384</v>
      </c>
      <c r="F27" s="28">
        <f t="shared" si="1"/>
        <v>3.9352016633065312E-2</v>
      </c>
      <c r="G27" s="38">
        <f t="shared" si="2"/>
        <v>5.8366026112903716E-2</v>
      </c>
      <c r="H27" s="39"/>
      <c r="I27" s="39"/>
      <c r="J27" s="40"/>
      <c r="K27" s="10" t="s">
        <v>68</v>
      </c>
      <c r="L27" s="27">
        <f t="shared" si="3"/>
        <v>728550.41899275384</v>
      </c>
      <c r="M27" s="33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0" s="125" customFormat="1">
      <c r="A28" s="114">
        <v>23</v>
      </c>
      <c r="B28" s="114" t="s">
        <v>70</v>
      </c>
      <c r="C28" s="115" t="s">
        <v>71</v>
      </c>
      <c r="D28" s="116">
        <f>VLOOKUP(B28,'2월매출'!$A$7:$D$499,4,FALSE)</f>
        <v>0</v>
      </c>
      <c r="E28" s="117">
        <f t="shared" si="0"/>
        <v>0</v>
      </c>
      <c r="F28" s="118">
        <f t="shared" si="1"/>
        <v>0</v>
      </c>
      <c r="G28" s="119">
        <f t="shared" si="2"/>
        <v>0</v>
      </c>
      <c r="H28" s="120"/>
      <c r="I28" s="120"/>
      <c r="J28" s="121"/>
      <c r="K28" s="122" t="s">
        <v>70</v>
      </c>
      <c r="L28" s="123">
        <f t="shared" si="3"/>
        <v>0</v>
      </c>
      <c r="M28" s="124"/>
    </row>
    <row r="29" spans="1:50" s="5" customFormat="1">
      <c r="A29" s="25">
        <v>24</v>
      </c>
      <c r="B29" s="31" t="s">
        <v>72</v>
      </c>
      <c r="C29" s="32" t="s">
        <v>73</v>
      </c>
      <c r="D29" s="12">
        <f>VLOOKUP(B29,'2월매출'!$A$7:$D$499,4,FALSE)</f>
        <v>5172680</v>
      </c>
      <c r="E29" s="11">
        <f t="shared" si="0"/>
        <v>301908.77595369477</v>
      </c>
      <c r="F29" s="28">
        <f t="shared" si="1"/>
        <v>1.6307339702616178E-2</v>
      </c>
      <c r="G29" s="38">
        <f t="shared" si="2"/>
        <v>5.8366026112903709E-2</v>
      </c>
      <c r="H29" s="39"/>
      <c r="I29" s="39"/>
      <c r="J29" s="40"/>
      <c r="K29" s="10" t="s">
        <v>72</v>
      </c>
      <c r="L29" s="27">
        <f t="shared" si="3"/>
        <v>301908.77595369477</v>
      </c>
      <c r="M29" s="33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</row>
    <row r="30" spans="1:50" s="5" customFormat="1">
      <c r="A30" s="25">
        <v>25</v>
      </c>
      <c r="B30" s="31" t="s">
        <v>74</v>
      </c>
      <c r="C30" s="32" t="s">
        <v>75</v>
      </c>
      <c r="D30" s="12">
        <f>VLOOKUP(B30,'2월매출'!$A$7:$D$499,4,FALSE)</f>
        <v>416310</v>
      </c>
      <c r="E30" s="11">
        <f t="shared" si="0"/>
        <v>24298.360331062941</v>
      </c>
      <c r="F30" s="28">
        <f t="shared" si="1"/>
        <v>1.3124547800359081E-3</v>
      </c>
      <c r="G30" s="38">
        <f t="shared" si="2"/>
        <v>5.8366026112903702E-2</v>
      </c>
      <c r="H30" s="39"/>
      <c r="I30" s="39"/>
      <c r="J30" s="40"/>
      <c r="K30" s="10" t="s">
        <v>74</v>
      </c>
      <c r="L30" s="27">
        <f t="shared" si="3"/>
        <v>24298.360331062941</v>
      </c>
      <c r="M30" s="33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</row>
    <row r="31" spans="1:50" s="112" customFormat="1">
      <c r="A31" s="101">
        <v>26</v>
      </c>
      <c r="B31" s="113" t="s">
        <v>1048</v>
      </c>
      <c r="C31" s="102" t="s">
        <v>77</v>
      </c>
      <c r="D31" s="103">
        <f>VLOOKUP(B31,'2월매출'!$A$7:$D$499,4,FALSE)</f>
        <v>2170040</v>
      </c>
      <c r="E31" s="104">
        <f t="shared" si="0"/>
        <v>126656.61130604557</v>
      </c>
      <c r="F31" s="105">
        <f t="shared" si="1"/>
        <v>6.8412465971730728E-3</v>
      </c>
      <c r="G31" s="106">
        <f t="shared" si="2"/>
        <v>5.8366026112903709E-2</v>
      </c>
      <c r="H31" s="107"/>
      <c r="I31" s="107"/>
      <c r="J31" s="108"/>
      <c r="K31" s="113" t="s">
        <v>1048</v>
      </c>
      <c r="L31" s="110">
        <f t="shared" si="3"/>
        <v>126656.61130604557</v>
      </c>
      <c r="M31" s="111"/>
    </row>
    <row r="32" spans="1:50" s="5" customFormat="1">
      <c r="A32" s="25">
        <v>27</v>
      </c>
      <c r="B32" s="31" t="s">
        <v>78</v>
      </c>
      <c r="C32" s="32" t="s">
        <v>79</v>
      </c>
      <c r="D32" s="12">
        <f>VLOOKUP(B32,'2월매출'!$A$7:$D$499,4,FALSE)</f>
        <v>6096510</v>
      </c>
      <c r="E32" s="11">
        <f t="shared" si="0"/>
        <v>355829.06185757858</v>
      </c>
      <c r="F32" s="28">
        <f t="shared" si="1"/>
        <v>1.9219797004724155E-2</v>
      </c>
      <c r="G32" s="38">
        <f t="shared" si="2"/>
        <v>5.8366026112903709E-2</v>
      </c>
      <c r="H32" s="39"/>
      <c r="I32" s="39"/>
      <c r="J32" s="40"/>
      <c r="K32" s="10" t="s">
        <v>78</v>
      </c>
      <c r="L32" s="27">
        <f t="shared" si="3"/>
        <v>355829.06185757858</v>
      </c>
      <c r="M32" s="33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</row>
    <row r="33" spans="1:51" s="5" customFormat="1">
      <c r="A33" s="25">
        <v>28</v>
      </c>
      <c r="B33" s="31" t="s">
        <v>80</v>
      </c>
      <c r="C33" s="32" t="s">
        <v>81</v>
      </c>
      <c r="D33" s="12">
        <f>VLOOKUP(B33,'2월매출'!$A$7:$D$499,4,FALSE)</f>
        <v>7085580</v>
      </c>
      <c r="E33" s="11">
        <f t="shared" si="0"/>
        <v>413557.14730506827</v>
      </c>
      <c r="F33" s="28">
        <f t="shared" si="1"/>
        <v>2.2337929284251708E-2</v>
      </c>
      <c r="G33" s="38">
        <f t="shared" si="2"/>
        <v>5.8366026112903709E-2</v>
      </c>
      <c r="H33" s="39"/>
      <c r="I33" s="39"/>
      <c r="J33" s="40"/>
      <c r="K33" s="10" t="s">
        <v>80</v>
      </c>
      <c r="L33" s="27">
        <f t="shared" si="3"/>
        <v>413557.14730506827</v>
      </c>
      <c r="M33" s="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</row>
    <row r="34" spans="1:51" s="5" customFormat="1">
      <c r="A34" s="25">
        <v>29</v>
      </c>
      <c r="B34" s="31" t="s">
        <v>82</v>
      </c>
      <c r="C34" s="32" t="s">
        <v>83</v>
      </c>
      <c r="D34" s="12">
        <f>VLOOKUP(B34,'2월매출'!$A$7:$D$499,4,FALSE)</f>
        <v>14034000</v>
      </c>
      <c r="E34" s="11">
        <f t="shared" si="0"/>
        <v>819108.81046849047</v>
      </c>
      <c r="F34" s="28">
        <f t="shared" si="1"/>
        <v>4.4243449311868396E-2</v>
      </c>
      <c r="G34" s="38">
        <f t="shared" si="2"/>
        <v>5.8366026112903695E-2</v>
      </c>
      <c r="H34" s="39"/>
      <c r="I34" s="39"/>
      <c r="J34" s="40"/>
      <c r="K34" s="10" t="s">
        <v>82</v>
      </c>
      <c r="L34" s="27">
        <f t="shared" si="3"/>
        <v>819108.81046849047</v>
      </c>
      <c r="M34" s="33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pans="1:51" s="5" customFormat="1">
      <c r="A35" s="25">
        <v>30</v>
      </c>
      <c r="B35" s="31" t="s">
        <v>84</v>
      </c>
      <c r="C35" s="32" t="s">
        <v>85</v>
      </c>
      <c r="D35" s="12">
        <f>VLOOKUP(B35,'2월매출'!$A$7:$D$499,4,FALSE)</f>
        <v>7266730</v>
      </c>
      <c r="E35" s="11">
        <f t="shared" si="0"/>
        <v>424130.15293542075</v>
      </c>
      <c r="F35" s="28">
        <f t="shared" si="1"/>
        <v>2.290902097891075E-2</v>
      </c>
      <c r="G35" s="38">
        <f t="shared" si="2"/>
        <v>5.8366026112903709E-2</v>
      </c>
      <c r="H35" s="39"/>
      <c r="I35" s="39"/>
      <c r="J35" s="40"/>
      <c r="K35" s="10" t="s">
        <v>84</v>
      </c>
      <c r="L35" s="27">
        <f t="shared" si="3"/>
        <v>424130.15293542075</v>
      </c>
      <c r="M35" s="33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spans="1:51" s="5" customFormat="1">
      <c r="A36" s="25">
        <v>31</v>
      </c>
      <c r="B36" s="31" t="s">
        <v>17</v>
      </c>
      <c r="C36" s="32" t="s">
        <v>86</v>
      </c>
      <c r="D36" s="12">
        <f>VLOOKUP(B36,'2월매출'!$A$7:$D$499,4,FALSE)</f>
        <v>2183500</v>
      </c>
      <c r="E36" s="11">
        <f t="shared" si="0"/>
        <v>127442.21801752526</v>
      </c>
      <c r="F36" s="28">
        <f t="shared" si="1"/>
        <v>6.8836804597737387E-3</v>
      </c>
      <c r="G36" s="38">
        <f t="shared" si="2"/>
        <v>5.8366026112903716E-2</v>
      </c>
      <c r="H36" s="39"/>
      <c r="I36" s="39"/>
      <c r="J36" s="40"/>
      <c r="K36" s="10" t="s">
        <v>17</v>
      </c>
      <c r="L36" s="27">
        <f t="shared" si="3"/>
        <v>127442.21801752526</v>
      </c>
      <c r="M36" s="33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1:51" s="5" customFormat="1">
      <c r="A37" s="25">
        <v>32</v>
      </c>
      <c r="B37" s="31" t="s">
        <v>87</v>
      </c>
      <c r="C37" s="32" t="s">
        <v>88</v>
      </c>
      <c r="D37" s="12">
        <f>VLOOKUP(B37,'2월매출'!$A$7:$D$499,4,FALSE)</f>
        <v>3913120</v>
      </c>
      <c r="E37" s="11">
        <f t="shared" si="0"/>
        <v>228393.26410292578</v>
      </c>
      <c r="F37" s="28">
        <f t="shared" si="1"/>
        <v>1.233646332986023E-2</v>
      </c>
      <c r="G37" s="38">
        <f t="shared" si="2"/>
        <v>5.8366026112903716E-2</v>
      </c>
      <c r="H37" s="39"/>
      <c r="I37" s="39"/>
      <c r="J37" s="40"/>
      <c r="K37" s="10" t="s">
        <v>87</v>
      </c>
      <c r="L37" s="27">
        <f t="shared" si="3"/>
        <v>228393.26410292578</v>
      </c>
      <c r="M37" s="33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51" s="5" customFormat="1">
      <c r="A38" s="25">
        <v>33</v>
      </c>
      <c r="B38" s="31" t="s">
        <v>89</v>
      </c>
      <c r="C38" s="32" t="s">
        <v>90</v>
      </c>
      <c r="D38" s="12">
        <f>VLOOKUP(B38,'2월매출'!$A$7:$D$499,4,FALSE)</f>
        <v>8973320</v>
      </c>
      <c r="E38" s="11">
        <f t="shared" si="0"/>
        <v>523737.02943944116</v>
      </c>
      <c r="F38" s="28">
        <f t="shared" si="1"/>
        <v>2.8289199699242904E-2</v>
      </c>
      <c r="G38" s="38">
        <f t="shared" si="2"/>
        <v>5.8366026112903716E-2</v>
      </c>
      <c r="H38" s="39"/>
      <c r="I38" s="39"/>
      <c r="J38" s="40"/>
      <c r="K38" s="10" t="s">
        <v>89</v>
      </c>
      <c r="L38" s="27">
        <f t="shared" si="3"/>
        <v>523737.02943944116</v>
      </c>
      <c r="M38" s="33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51" s="5" customFormat="1">
      <c r="A39" s="25">
        <v>34</v>
      </c>
      <c r="B39" s="31" t="s">
        <v>91</v>
      </c>
      <c r="C39" s="32" t="s">
        <v>92</v>
      </c>
      <c r="D39" s="12">
        <f>VLOOKUP(B39,'2월매출'!$A$7:$D$499,4,FALSE)</f>
        <v>4907920</v>
      </c>
      <c r="E39" s="11">
        <f t="shared" ref="E39:E67" si="7">(D39/$D$68*100)%*$D$3</f>
        <v>286455.78688004235</v>
      </c>
      <c r="F39" s="28">
        <f t="shared" ref="F39:F67" si="8">D39/$D$68</f>
        <v>1.5472659950598914E-2</v>
      </c>
      <c r="G39" s="38">
        <f t="shared" si="2"/>
        <v>5.8366026112903702E-2</v>
      </c>
      <c r="H39" s="39"/>
      <c r="I39" s="39"/>
      <c r="J39" s="40"/>
      <c r="K39" s="10" t="s">
        <v>91</v>
      </c>
      <c r="L39" s="27">
        <f t="shared" si="3"/>
        <v>286455.78688004235</v>
      </c>
      <c r="M39" s="33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</row>
    <row r="40" spans="1:51" s="5" customFormat="1">
      <c r="A40" s="25">
        <v>35</v>
      </c>
      <c r="B40" s="31" t="s">
        <v>93</v>
      </c>
      <c r="C40" s="32" t="s">
        <v>94</v>
      </c>
      <c r="D40" s="12">
        <f>VLOOKUP(B40,'2월매출'!$A$7:$D$499,4,FALSE)</f>
        <v>14626130</v>
      </c>
      <c r="E40" s="11">
        <f t="shared" si="7"/>
        <v>853669.08551072434</v>
      </c>
      <c r="F40" s="28">
        <f t="shared" si="8"/>
        <v>4.6110192481387896E-2</v>
      </c>
      <c r="G40" s="38">
        <f t="shared" si="2"/>
        <v>5.8366026112903709E-2</v>
      </c>
      <c r="H40" s="39"/>
      <c r="I40" s="39"/>
      <c r="J40" s="40"/>
      <c r="K40" s="10" t="s">
        <v>93</v>
      </c>
      <c r="L40" s="27">
        <f t="shared" si="3"/>
        <v>853669.08551072434</v>
      </c>
      <c r="M40" s="33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51" s="5" customFormat="1">
      <c r="A41" s="25">
        <v>36</v>
      </c>
      <c r="B41" s="31" t="s">
        <v>95</v>
      </c>
      <c r="C41" s="32" t="s">
        <v>96</v>
      </c>
      <c r="D41" s="12">
        <f>VLOOKUP(B41,'2월매출'!$A$7:$D$499,4,FALSE)</f>
        <v>8498630</v>
      </c>
      <c r="E41" s="11">
        <f t="shared" si="7"/>
        <v>496031.26050390687</v>
      </c>
      <c r="F41" s="28">
        <f t="shared" si="8"/>
        <v>2.6792696709799353E-2</v>
      </c>
      <c r="G41" s="38">
        <f t="shared" si="2"/>
        <v>5.8366026112903709E-2</v>
      </c>
      <c r="H41" s="41"/>
      <c r="I41" s="41"/>
      <c r="J41" s="40"/>
      <c r="K41" s="10" t="s">
        <v>95</v>
      </c>
      <c r="L41" s="27">
        <f t="shared" si="3"/>
        <v>496031.26050390687</v>
      </c>
      <c r="M41" s="33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</row>
    <row r="42" spans="1:51" s="5" customFormat="1">
      <c r="A42" s="25">
        <v>37</v>
      </c>
      <c r="B42" s="31" t="s">
        <v>97</v>
      </c>
      <c r="C42" s="32" t="s">
        <v>98</v>
      </c>
      <c r="D42" s="12">
        <f>VLOOKUP(B42,'2월매출'!$A$7:$D$499,4,FALSE)</f>
        <v>1924140</v>
      </c>
      <c r="E42" s="11">
        <f t="shared" si="7"/>
        <v>112304.40548488252</v>
      </c>
      <c r="F42" s="28">
        <f t="shared" si="8"/>
        <v>6.0660246942381684E-3</v>
      </c>
      <c r="G42" s="38">
        <f t="shared" si="2"/>
        <v>5.8366026112903695E-2</v>
      </c>
      <c r="H42" s="39"/>
      <c r="I42" s="39"/>
      <c r="J42" s="40"/>
      <c r="K42" s="10" t="s">
        <v>97</v>
      </c>
      <c r="L42" s="27">
        <f t="shared" si="3"/>
        <v>112304.40548488252</v>
      </c>
      <c r="M42" s="33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</row>
    <row r="43" spans="1:51" s="5" customFormat="1">
      <c r="A43" s="25">
        <v>38</v>
      </c>
      <c r="B43" s="31" t="s">
        <v>99</v>
      </c>
      <c r="C43" s="32" t="s">
        <v>100</v>
      </c>
      <c r="D43" s="12">
        <f>VLOOKUP(B43,'2월매출'!$A$7:$D$499,4,FALSE)</f>
        <v>9026740</v>
      </c>
      <c r="E43" s="11">
        <f t="shared" si="7"/>
        <v>526854.94255439239</v>
      </c>
      <c r="F43" s="28">
        <f t="shared" si="8"/>
        <v>2.8457611061808104E-2</v>
      </c>
      <c r="G43" s="38">
        <f t="shared" si="2"/>
        <v>5.8366026112903702E-2</v>
      </c>
      <c r="H43" s="39"/>
      <c r="I43" s="39"/>
      <c r="J43" s="40"/>
      <c r="K43" s="10" t="s">
        <v>99</v>
      </c>
      <c r="L43" s="27">
        <f t="shared" si="3"/>
        <v>526854.94255439239</v>
      </c>
      <c r="M43" s="3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</row>
    <row r="44" spans="1:51" s="5" customFormat="1">
      <c r="A44" s="25">
        <v>39</v>
      </c>
      <c r="B44" s="31" t="s">
        <v>101</v>
      </c>
      <c r="C44" s="32" t="s">
        <v>102</v>
      </c>
      <c r="D44" s="12">
        <f>VLOOKUP(B44,'2월매출'!$A$7:$D$499,4,FALSE)</f>
        <v>4626670</v>
      </c>
      <c r="E44" s="11">
        <f t="shared" si="7"/>
        <v>270040.34203578823</v>
      </c>
      <c r="F44" s="28">
        <f t="shared" si="8"/>
        <v>1.45859939880107E-2</v>
      </c>
      <c r="G44" s="38">
        <f t="shared" si="2"/>
        <v>5.8366026112903716E-2</v>
      </c>
      <c r="H44" s="39"/>
      <c r="I44" s="39"/>
      <c r="J44" s="40"/>
      <c r="K44" s="10" t="s">
        <v>101</v>
      </c>
      <c r="L44" s="27">
        <f t="shared" si="3"/>
        <v>270040.34203578823</v>
      </c>
      <c r="M44" s="33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</row>
    <row r="45" spans="1:51" s="5" customFormat="1">
      <c r="A45" s="25">
        <v>40</v>
      </c>
      <c r="B45" s="31" t="s">
        <v>103</v>
      </c>
      <c r="C45" s="32" t="s">
        <v>104</v>
      </c>
      <c r="D45" s="12">
        <f>VLOOKUP(B45,'2월매출'!$A$7:$D$499,4,FALSE)</f>
        <v>1270200</v>
      </c>
      <c r="E45" s="11">
        <f t="shared" si="7"/>
        <v>74136.526368610299</v>
      </c>
      <c r="F45" s="28">
        <f t="shared" si="8"/>
        <v>4.0044199313050621E-3</v>
      </c>
      <c r="G45" s="38">
        <f t="shared" si="2"/>
        <v>5.8366026112903716E-2</v>
      </c>
      <c r="H45" s="39"/>
      <c r="I45" s="39"/>
      <c r="J45" s="40"/>
      <c r="K45" s="10" t="s">
        <v>103</v>
      </c>
      <c r="L45" s="27">
        <f t="shared" si="3"/>
        <v>74136.526368610299</v>
      </c>
      <c r="M45" s="33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</row>
    <row r="46" spans="1:51" s="5" customFormat="1" ht="17.45" customHeight="1">
      <c r="A46" s="25">
        <v>41</v>
      </c>
      <c r="B46" s="31" t="s">
        <v>105</v>
      </c>
      <c r="C46" s="32" t="s">
        <v>1052</v>
      </c>
      <c r="D46" s="12">
        <f>VLOOKUP(B46,'2월매출'!$A$7:$D$499,4,FALSE)</f>
        <v>8476620</v>
      </c>
      <c r="E46" s="11">
        <f t="shared" si="7"/>
        <v>494746.6242691619</v>
      </c>
      <c r="F46" s="28">
        <f t="shared" si="8"/>
        <v>2.6723308201936007E-2</v>
      </c>
      <c r="G46" s="38">
        <f t="shared" si="2"/>
        <v>5.8366026112903716E-2</v>
      </c>
      <c r="H46" s="39"/>
      <c r="I46" s="39"/>
      <c r="J46" s="40"/>
      <c r="K46" s="10" t="s">
        <v>105</v>
      </c>
      <c r="L46" s="27">
        <f t="shared" si="3"/>
        <v>494746.6242691619</v>
      </c>
      <c r="M46" s="33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</row>
    <row r="47" spans="1:51" s="5" customFormat="1">
      <c r="A47" s="25">
        <v>42</v>
      </c>
      <c r="B47" s="31" t="s">
        <v>107</v>
      </c>
      <c r="C47" s="32" t="s">
        <v>108</v>
      </c>
      <c r="D47" s="12">
        <f>VLOOKUP(B47,'2월매출'!$A$7:$D$499,4,FALSE)</f>
        <v>1293770</v>
      </c>
      <c r="E47" s="11">
        <f t="shared" si="7"/>
        <v>75512.213604091434</v>
      </c>
      <c r="F47" s="28">
        <f t="shared" si="8"/>
        <v>4.0787264797075657E-3</v>
      </c>
      <c r="G47" s="38">
        <f t="shared" si="2"/>
        <v>5.8366026112903709E-2</v>
      </c>
      <c r="H47" s="39"/>
      <c r="I47" s="39"/>
      <c r="J47" s="40"/>
      <c r="K47" s="10" t="s">
        <v>107</v>
      </c>
      <c r="L47" s="27">
        <f t="shared" si="3"/>
        <v>75512.213604091434</v>
      </c>
      <c r="M47" s="33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</row>
    <row r="48" spans="1:51">
      <c r="A48" s="25">
        <v>43</v>
      </c>
      <c r="B48" s="31" t="s">
        <v>109</v>
      </c>
      <c r="C48" s="32" t="s">
        <v>110</v>
      </c>
      <c r="D48" s="12">
        <f>VLOOKUP(B48,'2월매출'!$A$7:$D$499,4,FALSE)</f>
        <v>785820</v>
      </c>
      <c r="E48" s="11">
        <f t="shared" si="7"/>
        <v>45865.19064004199</v>
      </c>
      <c r="F48" s="28">
        <f t="shared" si="8"/>
        <v>2.4773683438971371E-3</v>
      </c>
      <c r="G48" s="38">
        <f t="shared" si="2"/>
        <v>5.8366026112903709E-2</v>
      </c>
      <c r="H48" s="39"/>
      <c r="I48" s="39"/>
      <c r="J48" s="40"/>
      <c r="K48" s="10" t="s">
        <v>109</v>
      </c>
      <c r="L48" s="27">
        <f t="shared" si="3"/>
        <v>45865.19064004199</v>
      </c>
      <c r="M48" s="33"/>
      <c r="AY48" s="5"/>
    </row>
    <row r="49" spans="1:51">
      <c r="A49" s="25">
        <v>44</v>
      </c>
      <c r="B49" s="31" t="s">
        <v>111</v>
      </c>
      <c r="C49" s="32" t="s">
        <v>112</v>
      </c>
      <c r="D49" s="12">
        <f>VLOOKUP(B49,'2월매출'!$A$7:$D$499,4,FALSE)</f>
        <v>3907690</v>
      </c>
      <c r="E49" s="11">
        <f t="shared" si="7"/>
        <v>228076.33658113272</v>
      </c>
      <c r="F49" s="28">
        <f t="shared" si="8"/>
        <v>1.2319344765675861E-2</v>
      </c>
      <c r="G49" s="38">
        <f t="shared" si="2"/>
        <v>5.8366026112903716E-2</v>
      </c>
      <c r="H49" s="39"/>
      <c r="I49" s="39"/>
      <c r="J49" s="40"/>
      <c r="K49" s="10" t="s">
        <v>111</v>
      </c>
      <c r="L49" s="27">
        <f t="shared" si="3"/>
        <v>228076.33658113272</v>
      </c>
      <c r="M49" s="33"/>
      <c r="AY49" s="5"/>
    </row>
    <row r="50" spans="1:51">
      <c r="A50" s="25">
        <v>45</v>
      </c>
      <c r="B50" s="31" t="s">
        <v>113</v>
      </c>
      <c r="C50" s="32" t="s">
        <v>114</v>
      </c>
      <c r="D50" s="12">
        <f>VLOOKUP(B50,'2월매출'!$A$7:$D$499,4,FALSE)</f>
        <v>3284560</v>
      </c>
      <c r="E50" s="11">
        <f t="shared" si="7"/>
        <v>191706.71472939901</v>
      </c>
      <c r="F50" s="28">
        <f t="shared" si="8"/>
        <v>1.0354871303391083E-2</v>
      </c>
      <c r="G50" s="38">
        <f t="shared" si="2"/>
        <v>5.8366026112903709E-2</v>
      </c>
      <c r="H50" s="39"/>
      <c r="I50" s="39"/>
      <c r="J50" s="40"/>
      <c r="K50" s="10" t="s">
        <v>113</v>
      </c>
      <c r="L50" s="27">
        <f t="shared" si="3"/>
        <v>191706.71472939901</v>
      </c>
      <c r="M50" s="33"/>
      <c r="AY50" s="5"/>
    </row>
    <row r="51" spans="1:51">
      <c r="A51" s="25">
        <v>46</v>
      </c>
      <c r="B51" s="31" t="s">
        <v>115</v>
      </c>
      <c r="C51" s="32" t="s">
        <v>116</v>
      </c>
      <c r="D51" s="12">
        <f>VLOOKUP(B51,'2월매출'!$A$7:$D$499,4,FALSE)</f>
        <v>2576940</v>
      </c>
      <c r="E51" s="11">
        <f t="shared" si="7"/>
        <v>150405.74733138608</v>
      </c>
      <c r="F51" s="28">
        <f t="shared" si="8"/>
        <v>8.1240355044695841E-3</v>
      </c>
      <c r="G51" s="38">
        <f t="shared" si="2"/>
        <v>5.8366026112903709E-2</v>
      </c>
      <c r="H51" s="39"/>
      <c r="I51" s="39"/>
      <c r="J51" s="40"/>
      <c r="K51" s="10" t="s">
        <v>115</v>
      </c>
      <c r="L51" s="27">
        <f t="shared" si="3"/>
        <v>150405.74733138608</v>
      </c>
      <c r="M51" s="33"/>
      <c r="AY51" s="5"/>
    </row>
    <row r="52" spans="1:51">
      <c r="A52" s="25">
        <v>47</v>
      </c>
      <c r="B52" s="31" t="s">
        <v>117</v>
      </c>
      <c r="C52" s="32" t="s">
        <v>118</v>
      </c>
      <c r="D52" s="12">
        <f>VLOOKUP(B52,'2월매출'!$A$7:$D$499,4,FALSE)</f>
        <v>15220940</v>
      </c>
      <c r="E52" s="11">
        <f t="shared" si="7"/>
        <v>888385.78150294058</v>
      </c>
      <c r="F52" s="28">
        <f t="shared" si="8"/>
        <v>4.7985384592346456E-2</v>
      </c>
      <c r="G52" s="38">
        <f t="shared" si="2"/>
        <v>5.8366026112903709E-2</v>
      </c>
      <c r="H52" s="39"/>
      <c r="I52" s="39"/>
      <c r="J52" s="40"/>
      <c r="K52" s="10" t="s">
        <v>117</v>
      </c>
      <c r="L52" s="27">
        <f t="shared" si="3"/>
        <v>888385.78150294058</v>
      </c>
      <c r="M52" s="33"/>
      <c r="AY52" s="5"/>
    </row>
    <row r="53" spans="1:51">
      <c r="A53" s="25">
        <v>48</v>
      </c>
      <c r="B53" s="31" t="s">
        <v>119</v>
      </c>
      <c r="C53" s="32" t="s">
        <v>120</v>
      </c>
      <c r="D53" s="12">
        <f>VLOOKUP(B53,'2월매출'!$A$7:$D$499,4,FALSE)</f>
        <v>2026910</v>
      </c>
      <c r="E53" s="11">
        <f t="shared" si="7"/>
        <v>118302.68198850568</v>
      </c>
      <c r="F53" s="28">
        <f t="shared" si="8"/>
        <v>6.3900163777055137E-3</v>
      </c>
      <c r="G53" s="38">
        <f t="shared" si="2"/>
        <v>5.8366026112903716E-2</v>
      </c>
      <c r="H53" s="39"/>
      <c r="I53" s="39"/>
      <c r="J53" s="40"/>
      <c r="K53" s="10" t="s">
        <v>119</v>
      </c>
      <c r="L53" s="27">
        <f t="shared" si="3"/>
        <v>118302.68198850568</v>
      </c>
      <c r="M53" s="33"/>
      <c r="AY53" s="5"/>
    </row>
    <row r="54" spans="1:51">
      <c r="A54" s="25">
        <v>49</v>
      </c>
      <c r="B54" s="31" t="s">
        <v>121</v>
      </c>
      <c r="C54" s="32" t="s">
        <v>122</v>
      </c>
      <c r="D54" s="12">
        <f>VLOOKUP(B54,'2월매출'!$A$7:$D$499,4,FALSE)</f>
        <v>8784790</v>
      </c>
      <c r="E54" s="11">
        <f t="shared" si="7"/>
        <v>512733.28253637539</v>
      </c>
      <c r="F54" s="28">
        <f t="shared" si="8"/>
        <v>2.7694841889725551E-2</v>
      </c>
      <c r="G54" s="38">
        <f t="shared" si="2"/>
        <v>5.8366026112903709E-2</v>
      </c>
      <c r="H54" s="39"/>
      <c r="I54" s="42"/>
      <c r="J54" s="40"/>
      <c r="K54" s="10" t="s">
        <v>121</v>
      </c>
      <c r="L54" s="27">
        <f t="shared" si="3"/>
        <v>512733.28253637539</v>
      </c>
      <c r="M54" s="33"/>
    </row>
    <row r="55" spans="1:51">
      <c r="A55" s="25">
        <v>50</v>
      </c>
      <c r="B55" s="31" t="s">
        <v>123</v>
      </c>
      <c r="C55" s="32" t="s">
        <v>124</v>
      </c>
      <c r="D55" s="12">
        <f>VLOOKUP(B55,'2월매출'!$A$7:$D$499,4,FALSE)</f>
        <v>4330350</v>
      </c>
      <c r="E55" s="11">
        <f t="shared" si="7"/>
        <v>252745.32117801259</v>
      </c>
      <c r="F55" s="28">
        <f t="shared" si="8"/>
        <v>1.3651818492778205E-2</v>
      </c>
      <c r="G55" s="38">
        <f t="shared" si="2"/>
        <v>5.8366026112903709E-2</v>
      </c>
      <c r="H55" s="39"/>
      <c r="I55" s="42"/>
      <c r="J55" s="40"/>
      <c r="K55" s="10" t="s">
        <v>123</v>
      </c>
      <c r="L55" s="27">
        <f t="shared" si="3"/>
        <v>252745.32117801259</v>
      </c>
      <c r="M55" s="33"/>
      <c r="AY55" s="5"/>
    </row>
    <row r="56" spans="1:51">
      <c r="A56" s="25">
        <v>51</v>
      </c>
      <c r="B56" s="31" t="s">
        <v>125</v>
      </c>
      <c r="C56" s="32" t="s">
        <v>126</v>
      </c>
      <c r="D56" s="12">
        <f>VLOOKUP(B56,'2월매출'!$A$7:$D$499,4,FALSE)</f>
        <v>8242970</v>
      </c>
      <c r="E56" s="11">
        <f t="shared" si="7"/>
        <v>481109.40226788196</v>
      </c>
      <c r="F56" s="28">
        <f t="shared" si="8"/>
        <v>2.5986705527593832E-2</v>
      </c>
      <c r="G56" s="38">
        <f t="shared" si="2"/>
        <v>5.8366026112903716E-2</v>
      </c>
      <c r="H56" s="39"/>
      <c r="I56" s="42"/>
      <c r="J56" s="40"/>
      <c r="K56" s="10" t="s">
        <v>125</v>
      </c>
      <c r="L56" s="27">
        <f t="shared" si="3"/>
        <v>481109.40226788196</v>
      </c>
      <c r="M56" s="33"/>
    </row>
    <row r="57" spans="1:51">
      <c r="A57" s="25">
        <v>52</v>
      </c>
      <c r="B57" s="31" t="s">
        <v>127</v>
      </c>
      <c r="C57" s="32" t="s">
        <v>128</v>
      </c>
      <c r="D57" s="12">
        <f>VLOOKUP(B57,'2월매출'!$A$7:$D$499,4,FALSE)</f>
        <v>8604930</v>
      </c>
      <c r="E57" s="11">
        <f t="shared" si="7"/>
        <v>502235.56907970854</v>
      </c>
      <c r="F57" s="28">
        <f t="shared" si="8"/>
        <v>2.7127817036281584E-2</v>
      </c>
      <c r="G57" s="38">
        <f t="shared" si="2"/>
        <v>5.8366026112903716E-2</v>
      </c>
      <c r="H57" s="39"/>
      <c r="I57" s="42"/>
      <c r="J57" s="40"/>
      <c r="K57" s="10" t="s">
        <v>127</v>
      </c>
      <c r="L57" s="27">
        <f t="shared" si="3"/>
        <v>502235.56907970854</v>
      </c>
      <c r="M57" s="33"/>
    </row>
    <row r="58" spans="1:51">
      <c r="A58" s="25">
        <v>53</v>
      </c>
      <c r="B58" s="55" t="s">
        <v>152</v>
      </c>
      <c r="C58" s="56" t="s">
        <v>153</v>
      </c>
      <c r="D58" s="12">
        <f>VLOOKUP(B58,'2월매출'!$A$7:$D$499,4,FALSE)</f>
        <v>9144260</v>
      </c>
      <c r="E58" s="11">
        <f t="shared" si="7"/>
        <v>533714.11794318096</v>
      </c>
      <c r="F58" s="28">
        <f t="shared" si="8"/>
        <v>2.8828103449091189E-2</v>
      </c>
      <c r="G58" s="38">
        <f t="shared" si="2"/>
        <v>5.8366026112903716E-2</v>
      </c>
      <c r="H58" s="39"/>
      <c r="I58" s="42"/>
      <c r="J58" s="40"/>
      <c r="K58" s="26" t="s">
        <v>148</v>
      </c>
      <c r="L58" s="27">
        <f t="shared" si="3"/>
        <v>533714.11794318096</v>
      </c>
      <c r="M58" s="33"/>
    </row>
    <row r="59" spans="1:51">
      <c r="A59" s="25">
        <v>54</v>
      </c>
      <c r="B59" s="25" t="s">
        <v>129</v>
      </c>
      <c r="C59" s="56" t="s">
        <v>130</v>
      </c>
      <c r="D59" s="12">
        <f>VLOOKUP(B59,'2월매출'!$A$7:$D$499,4,FALSE)</f>
        <v>1512840</v>
      </c>
      <c r="E59" s="11">
        <f t="shared" si="7"/>
        <v>88298.458944645259</v>
      </c>
      <c r="F59" s="28">
        <f t="shared" si="8"/>
        <v>4.7693643905491658E-3</v>
      </c>
      <c r="G59" s="38">
        <f t="shared" si="2"/>
        <v>5.8366026112903716E-2</v>
      </c>
      <c r="H59" s="39"/>
      <c r="I59" s="42"/>
      <c r="J59" s="40"/>
      <c r="K59" s="26" t="s">
        <v>129</v>
      </c>
      <c r="L59" s="27">
        <f t="shared" si="3"/>
        <v>88298.458944645259</v>
      </c>
      <c r="M59" s="33"/>
    </row>
    <row r="60" spans="1:51">
      <c r="A60" s="25">
        <v>55</v>
      </c>
      <c r="B60" s="55" t="s">
        <v>154</v>
      </c>
      <c r="C60" s="56" t="s">
        <v>155</v>
      </c>
      <c r="D60" s="12">
        <f>VLOOKUP(B60,'2월매출'!$A$7:$D$499,4,FALSE)</f>
        <v>2708810</v>
      </c>
      <c r="E60" s="11">
        <f t="shared" si="7"/>
        <v>158102.47519489468</v>
      </c>
      <c r="F60" s="28">
        <f t="shared" si="8"/>
        <v>8.5397675595327224E-3</v>
      </c>
      <c r="G60" s="38">
        <f t="shared" si="2"/>
        <v>5.8366026112903702E-2</v>
      </c>
      <c r="H60" s="39"/>
      <c r="I60" s="42"/>
      <c r="J60" s="40"/>
      <c r="K60" s="26" t="s">
        <v>149</v>
      </c>
      <c r="L60" s="27">
        <f t="shared" si="3"/>
        <v>158102.47519489468</v>
      </c>
      <c r="M60" s="33"/>
    </row>
    <row r="61" spans="1:51">
      <c r="A61" s="25">
        <v>56</v>
      </c>
      <c r="B61" s="25" t="s">
        <v>131</v>
      </c>
      <c r="C61" s="56" t="s">
        <v>132</v>
      </c>
      <c r="D61" s="12">
        <f>VLOOKUP(B61,'2월매출'!$A$7:$D$499,4,FALSE)</f>
        <v>2948450</v>
      </c>
      <c r="E61" s="11">
        <f t="shared" si="7"/>
        <v>172089.30969259096</v>
      </c>
      <c r="F61" s="28">
        <f t="shared" si="8"/>
        <v>9.2952542485092195E-3</v>
      </c>
      <c r="G61" s="38">
        <f t="shared" si="2"/>
        <v>5.8366026112903716E-2</v>
      </c>
      <c r="H61" s="39"/>
      <c r="I61" s="42"/>
      <c r="J61" s="40"/>
      <c r="K61" s="26" t="s">
        <v>131</v>
      </c>
      <c r="L61" s="27">
        <f t="shared" si="3"/>
        <v>172089.30969259096</v>
      </c>
      <c r="M61" s="33"/>
    </row>
    <row r="62" spans="1:51">
      <c r="A62" s="25">
        <v>57</v>
      </c>
      <c r="B62" s="31" t="s">
        <v>133</v>
      </c>
      <c r="C62" s="32" t="s">
        <v>134</v>
      </c>
      <c r="D62" s="12">
        <f>VLOOKUP(B62,'2월매출'!$A$7:$D$499,4,FALSE)</f>
        <v>2547060</v>
      </c>
      <c r="E62" s="11">
        <f t="shared" si="7"/>
        <v>148661.77047113254</v>
      </c>
      <c r="F62" s="28">
        <f t="shared" si="8"/>
        <v>8.0298361126042127E-3</v>
      </c>
      <c r="G62" s="38">
        <f t="shared" ref="G62:G67" si="9">IFERROR(E62/D62,0)</f>
        <v>5.8366026112903716E-2</v>
      </c>
      <c r="H62" s="39"/>
      <c r="I62" s="42"/>
      <c r="J62" s="40"/>
      <c r="K62" s="10" t="s">
        <v>133</v>
      </c>
      <c r="L62" s="27">
        <f t="shared" si="3"/>
        <v>148661.77047113254</v>
      </c>
      <c r="M62" s="33"/>
    </row>
    <row r="63" spans="1:51">
      <c r="A63" s="25">
        <v>58</v>
      </c>
      <c r="B63" s="31" t="s">
        <v>135</v>
      </c>
      <c r="C63" s="32" t="s">
        <v>136</v>
      </c>
      <c r="D63" s="12">
        <f>VLOOKUP(B63,'2월매출'!$A$7:$D$499,4,FALSE)</f>
        <v>4044250</v>
      </c>
      <c r="E63" s="11">
        <f t="shared" si="7"/>
        <v>236046.8011071108</v>
      </c>
      <c r="F63" s="28">
        <f t="shared" si="8"/>
        <v>1.2749862468257359E-2</v>
      </c>
      <c r="G63" s="38">
        <f t="shared" si="9"/>
        <v>5.8366026112903702E-2</v>
      </c>
      <c r="H63" s="39"/>
      <c r="I63" s="42"/>
      <c r="J63" s="40"/>
      <c r="K63" s="10" t="s">
        <v>135</v>
      </c>
      <c r="L63" s="27">
        <f t="shared" si="3"/>
        <v>236046.8011071108</v>
      </c>
      <c r="M63" s="33"/>
    </row>
    <row r="64" spans="1:51">
      <c r="A64" s="25">
        <v>59</v>
      </c>
      <c r="B64" s="31" t="s">
        <v>137</v>
      </c>
      <c r="C64" s="32" t="s">
        <v>138</v>
      </c>
      <c r="D64" s="12">
        <f>VLOOKUP(B64,'2월매출'!$A$7:$D$499,4,FALSE)</f>
        <v>14989050</v>
      </c>
      <c r="E64" s="11">
        <f t="shared" si="7"/>
        <v>874851.2837076193</v>
      </c>
      <c r="F64" s="28">
        <f t="shared" si="8"/>
        <v>4.7254330476561281E-2</v>
      </c>
      <c r="G64" s="38">
        <f t="shared" si="9"/>
        <v>5.8366026112903709E-2</v>
      </c>
      <c r="H64" s="39"/>
      <c r="I64" s="42"/>
      <c r="J64" s="40"/>
      <c r="K64" s="10" t="s">
        <v>137</v>
      </c>
      <c r="L64" s="27">
        <f t="shared" si="3"/>
        <v>874851.2837076193</v>
      </c>
      <c r="M64" s="33"/>
    </row>
    <row r="65" spans="1:13">
      <c r="A65" s="25">
        <v>60</v>
      </c>
      <c r="B65" s="31" t="s">
        <v>139</v>
      </c>
      <c r="C65" s="32" t="s">
        <v>140</v>
      </c>
      <c r="D65" s="12">
        <f>VLOOKUP(B65,'2월매출'!$A$7:$D$499,4,FALSE)</f>
        <v>3681950</v>
      </c>
      <c r="E65" s="11">
        <f t="shared" si="7"/>
        <v>214900.78984640582</v>
      </c>
      <c r="F65" s="28">
        <f t="shared" si="8"/>
        <v>1.160767907893928E-2</v>
      </c>
      <c r="G65" s="38">
        <f t="shared" si="9"/>
        <v>5.8366026112903716E-2</v>
      </c>
      <c r="H65" s="39"/>
      <c r="I65" s="42"/>
      <c r="J65" s="40"/>
      <c r="K65" s="10" t="s">
        <v>139</v>
      </c>
      <c r="L65" s="27">
        <f t="shared" si="3"/>
        <v>214900.78984640582</v>
      </c>
      <c r="M65" s="33"/>
    </row>
    <row r="66" spans="1:13">
      <c r="A66" s="25">
        <v>61</v>
      </c>
      <c r="B66" s="31" t="s">
        <v>141</v>
      </c>
      <c r="C66" s="32" t="s">
        <v>142</v>
      </c>
      <c r="D66" s="12">
        <f>VLOOKUP(B66,'2월매출'!$A$7:$D$499,4,FALSE)</f>
        <v>8186680</v>
      </c>
      <c r="E66" s="11">
        <f t="shared" si="7"/>
        <v>477823.97865798656</v>
      </c>
      <c r="F66" s="28">
        <f t="shared" si="8"/>
        <v>2.5809246231472623E-2</v>
      </c>
      <c r="G66" s="38">
        <f t="shared" si="9"/>
        <v>5.8366026112903709E-2</v>
      </c>
      <c r="H66" s="39"/>
      <c r="I66" s="42"/>
      <c r="J66" s="40"/>
      <c r="K66" s="10" t="s">
        <v>141</v>
      </c>
      <c r="L66" s="27">
        <f t="shared" si="3"/>
        <v>477823.97865798656</v>
      </c>
      <c r="M66" s="33"/>
    </row>
    <row r="67" spans="1:13">
      <c r="A67" s="25">
        <v>62</v>
      </c>
      <c r="B67" s="31" t="s">
        <v>143</v>
      </c>
      <c r="C67" s="32" t="s">
        <v>144</v>
      </c>
      <c r="D67" s="12">
        <f>VLOOKUP(B67,'2월매출'!$A$7:$D$499,4,FALSE)</f>
        <v>2445440</v>
      </c>
      <c r="E67" s="11">
        <f t="shared" si="7"/>
        <v>142730.61489753926</v>
      </c>
      <c r="F67" s="28">
        <f t="shared" si="8"/>
        <v>7.7094699077394514E-3</v>
      </c>
      <c r="G67" s="38">
        <f t="shared" si="9"/>
        <v>5.8366026112903716E-2</v>
      </c>
      <c r="H67" s="39"/>
      <c r="I67" s="42"/>
      <c r="J67" s="40"/>
      <c r="K67" s="22" t="s">
        <v>143</v>
      </c>
      <c r="L67" s="27">
        <f t="shared" si="3"/>
        <v>142730.61489753926</v>
      </c>
      <c r="M67" s="33"/>
    </row>
    <row r="68" spans="1:13">
      <c r="A68" s="58" t="s">
        <v>13</v>
      </c>
      <c r="B68" s="58"/>
      <c r="C68" s="58"/>
      <c r="D68" s="21">
        <f>SUM(D6:D67)</f>
        <v>317199500</v>
      </c>
      <c r="E68" s="21">
        <f>SUM(E6:E67)</f>
        <v>18513674.300000001</v>
      </c>
      <c r="F68" s="43">
        <f>SUM(F6:F67)</f>
        <v>0.99999999999999989</v>
      </c>
      <c r="G68" s="44"/>
      <c r="H68" s="45"/>
      <c r="I68" s="45"/>
      <c r="J68" s="33"/>
      <c r="K68" s="37" t="s">
        <v>13</v>
      </c>
      <c r="L68" s="46">
        <f>SUM(L6:L67)</f>
        <v>18513674.300000001</v>
      </c>
      <c r="M68" s="33" t="str">
        <f>IF(L68-D3=0,"비용일치","불일치")</f>
        <v>비용일치</v>
      </c>
    </row>
    <row r="69" spans="1:13" s="69" customFormat="1" ht="12">
      <c r="A69" s="34"/>
      <c r="B69" s="34"/>
      <c r="C69" s="68"/>
      <c r="D69" s="34"/>
      <c r="E69" s="34"/>
      <c r="F69" s="34"/>
      <c r="H69" s="34"/>
      <c r="I69" s="34"/>
      <c r="K69" s="34"/>
      <c r="L69" s="34"/>
    </row>
    <row r="70" spans="1:13" s="69" customFormat="1" ht="12">
      <c r="A70" s="47" t="s">
        <v>156</v>
      </c>
      <c r="B70" s="34"/>
      <c r="C70" s="34"/>
      <c r="D70" s="34"/>
      <c r="E70" s="34"/>
      <c r="F70" s="34"/>
      <c r="H70" s="34"/>
      <c r="I70" s="34"/>
      <c r="K70" s="34"/>
      <c r="L70" s="34"/>
    </row>
    <row r="71" spans="1:13" s="69" customFormat="1" ht="12">
      <c r="A71" s="47" t="s">
        <v>1047</v>
      </c>
      <c r="B71" s="34"/>
      <c r="C71" s="34"/>
      <c r="D71" s="34"/>
      <c r="E71" s="34"/>
      <c r="F71" s="34"/>
      <c r="I71" s="34"/>
      <c r="J71" s="34"/>
    </row>
    <row r="72" spans="1:13" s="69" customFormat="1" ht="12">
      <c r="A72" s="34"/>
      <c r="B72" s="34"/>
      <c r="C72" s="34"/>
      <c r="D72" s="34"/>
      <c r="E72" s="34"/>
      <c r="F72" s="34"/>
      <c r="I72" s="34"/>
      <c r="J72" s="34"/>
    </row>
    <row r="73" spans="1:13" s="69" customFormat="1" ht="12">
      <c r="A73" s="34"/>
      <c r="B73" s="34"/>
      <c r="C73" s="34"/>
      <c r="D73" s="34"/>
      <c r="E73" s="34"/>
      <c r="F73" s="34"/>
      <c r="I73" s="34"/>
      <c r="J73" s="34"/>
    </row>
    <row r="74" spans="1:13" s="69" customFormat="1" ht="12">
      <c r="A74" s="34"/>
      <c r="B74" s="34"/>
      <c r="C74" s="34"/>
      <c r="D74" s="34"/>
      <c r="E74" s="34"/>
      <c r="F74" s="34"/>
      <c r="I74" s="34"/>
      <c r="J74" s="34"/>
    </row>
    <row r="75" spans="1:13" s="69" customFormat="1" ht="12">
      <c r="A75" s="34"/>
      <c r="B75" s="34"/>
      <c r="C75" s="34"/>
      <c r="D75" s="34"/>
      <c r="E75" s="34"/>
      <c r="F75" s="34"/>
      <c r="I75" s="34"/>
      <c r="J75" s="34"/>
    </row>
    <row r="76" spans="1:13" s="69" customFormat="1" ht="12">
      <c r="A76" s="34"/>
      <c r="B76" s="34"/>
      <c r="C76" s="34"/>
      <c r="D76" s="34"/>
      <c r="E76" s="34"/>
      <c r="F76" s="34"/>
      <c r="I76" s="34"/>
      <c r="J76" s="34"/>
    </row>
    <row r="77" spans="1:13" s="69" customFormat="1" ht="12">
      <c r="A77" s="34"/>
      <c r="B77" s="34"/>
      <c r="C77" s="34"/>
      <c r="D77" s="34"/>
      <c r="E77" s="34"/>
      <c r="F77" s="34"/>
      <c r="I77" s="34"/>
      <c r="J77" s="34"/>
    </row>
    <row r="78" spans="1:13" s="69" customFormat="1" ht="12">
      <c r="A78" s="34"/>
      <c r="B78" s="34"/>
      <c r="C78" s="34"/>
      <c r="D78" s="34"/>
      <c r="E78" s="34"/>
      <c r="F78" s="34"/>
      <c r="I78" s="34"/>
      <c r="J78" s="34"/>
    </row>
    <row r="79" spans="1:13" s="69" customFormat="1" ht="12">
      <c r="A79" s="34"/>
      <c r="B79" s="34"/>
      <c r="C79" s="34"/>
      <c r="D79" s="34"/>
      <c r="E79" s="34"/>
      <c r="F79" s="34"/>
      <c r="I79" s="34"/>
      <c r="J79" s="34"/>
    </row>
    <row r="80" spans="1:13" s="69" customFormat="1" ht="12">
      <c r="A80" s="34"/>
      <c r="B80" s="34"/>
      <c r="C80" s="34"/>
      <c r="D80" s="34"/>
      <c r="E80" s="34"/>
      <c r="F80" s="34"/>
      <c r="I80" s="34"/>
      <c r="J80" s="34"/>
    </row>
    <row r="81" spans="1:10" s="69" customFormat="1" ht="12">
      <c r="A81" s="34"/>
      <c r="B81" s="34"/>
      <c r="C81" s="34"/>
      <c r="D81" s="34"/>
      <c r="E81" s="34"/>
      <c r="F81" s="34"/>
      <c r="I81" s="34"/>
      <c r="J81" s="34"/>
    </row>
    <row r="82" spans="1:10" s="69" customFormat="1" ht="12">
      <c r="A82" s="34"/>
      <c r="B82" s="34"/>
      <c r="C82" s="34"/>
      <c r="D82" s="34"/>
      <c r="E82" s="34"/>
      <c r="F82" s="34"/>
      <c r="I82" s="34"/>
      <c r="J82" s="34"/>
    </row>
    <row r="83" spans="1:10" s="69" customFormat="1" ht="12">
      <c r="A83" s="34"/>
      <c r="B83" s="34"/>
      <c r="C83" s="34"/>
      <c r="D83" s="34"/>
      <c r="E83" s="34"/>
      <c r="F83" s="34"/>
      <c r="I83" s="34"/>
      <c r="J83" s="34"/>
    </row>
    <row r="84" spans="1:10" s="69" customFormat="1" ht="12">
      <c r="A84" s="34"/>
      <c r="B84" s="34"/>
      <c r="C84" s="34"/>
      <c r="D84" s="34"/>
      <c r="E84" s="34"/>
      <c r="F84" s="34"/>
      <c r="I84" s="34"/>
      <c r="J84" s="34"/>
    </row>
    <row r="85" spans="1:10" s="69" customFormat="1" ht="12">
      <c r="A85" s="34"/>
      <c r="B85" s="34"/>
      <c r="C85" s="34"/>
      <c r="D85" s="34"/>
      <c r="E85" s="34"/>
      <c r="F85" s="34"/>
      <c r="I85" s="34"/>
      <c r="J85" s="34"/>
    </row>
    <row r="86" spans="1:10" s="69" customFormat="1" ht="12">
      <c r="A86" s="34"/>
      <c r="B86" s="34"/>
      <c r="C86" s="34"/>
      <c r="D86" s="34"/>
      <c r="E86" s="34"/>
      <c r="F86" s="34"/>
      <c r="I86" s="34"/>
      <c r="J86" s="34"/>
    </row>
    <row r="87" spans="1:10" s="69" customFormat="1" ht="12">
      <c r="A87" s="34"/>
      <c r="B87" s="34"/>
      <c r="C87" s="34"/>
      <c r="D87" s="34"/>
      <c r="E87" s="34"/>
      <c r="F87" s="34"/>
      <c r="I87" s="34"/>
      <c r="J87" s="34"/>
    </row>
    <row r="88" spans="1:10" s="69" customFormat="1" ht="12">
      <c r="A88" s="34"/>
      <c r="B88" s="34"/>
      <c r="C88" s="34"/>
      <c r="D88" s="34"/>
      <c r="E88" s="34"/>
      <c r="F88" s="34"/>
      <c r="I88" s="34"/>
      <c r="J88" s="34"/>
    </row>
    <row r="89" spans="1:10" s="69" customFormat="1" ht="12">
      <c r="A89" s="34"/>
      <c r="B89" s="34"/>
      <c r="C89" s="34"/>
      <c r="D89" s="34"/>
      <c r="E89" s="34"/>
      <c r="F89" s="34"/>
      <c r="I89" s="34"/>
      <c r="J89" s="34"/>
    </row>
    <row r="90" spans="1:10" s="69" customFormat="1" ht="12">
      <c r="A90" s="34"/>
      <c r="B90" s="34"/>
      <c r="C90" s="34"/>
      <c r="D90" s="34"/>
      <c r="E90" s="34"/>
      <c r="F90" s="34"/>
      <c r="I90" s="34"/>
      <c r="J90" s="34"/>
    </row>
    <row r="91" spans="1:10" s="69" customFormat="1" ht="12">
      <c r="A91" s="34"/>
      <c r="B91" s="34"/>
      <c r="C91" s="34"/>
      <c r="D91" s="34"/>
      <c r="E91" s="34"/>
      <c r="F91" s="34"/>
      <c r="I91" s="34"/>
      <c r="J91" s="34"/>
    </row>
    <row r="92" spans="1:10" s="69" customFormat="1" ht="12">
      <c r="A92" s="34"/>
      <c r="B92" s="34"/>
      <c r="C92" s="34"/>
      <c r="D92" s="34"/>
      <c r="E92" s="34"/>
      <c r="F92" s="34"/>
      <c r="I92" s="34"/>
      <c r="J92" s="34"/>
    </row>
    <row r="93" spans="1:10" s="69" customFormat="1" ht="12">
      <c r="A93" s="34"/>
      <c r="B93" s="34"/>
      <c r="C93" s="34"/>
      <c r="D93" s="34"/>
      <c r="E93" s="34"/>
      <c r="F93" s="34"/>
      <c r="I93" s="34"/>
      <c r="J93" s="34"/>
    </row>
    <row r="94" spans="1:10" s="69" customFormat="1" ht="12">
      <c r="A94" s="34"/>
      <c r="B94" s="34"/>
      <c r="C94" s="34"/>
      <c r="D94" s="34"/>
      <c r="E94" s="34"/>
      <c r="F94" s="34"/>
      <c r="I94" s="34"/>
      <c r="J94" s="34"/>
    </row>
    <row r="95" spans="1:10" s="69" customFormat="1" ht="12">
      <c r="A95" s="34"/>
      <c r="B95" s="34"/>
      <c r="C95" s="34"/>
      <c r="D95" s="34"/>
      <c r="E95" s="34"/>
      <c r="F95" s="34"/>
      <c r="I95" s="34"/>
      <c r="J95" s="34"/>
    </row>
    <row r="96" spans="1:10" s="69" customFormat="1" ht="12">
      <c r="A96" s="34"/>
      <c r="B96" s="34"/>
      <c r="C96" s="34"/>
      <c r="D96" s="34"/>
      <c r="E96" s="34"/>
      <c r="F96" s="34"/>
      <c r="I96" s="34"/>
      <c r="J96" s="34"/>
    </row>
    <row r="97" spans="1:10" s="69" customFormat="1" ht="12">
      <c r="A97" s="34"/>
      <c r="B97" s="34"/>
      <c r="C97" s="34"/>
      <c r="D97" s="34"/>
      <c r="E97" s="34"/>
      <c r="F97" s="34"/>
      <c r="I97" s="34"/>
      <c r="J97" s="34"/>
    </row>
    <row r="98" spans="1:10" s="69" customFormat="1" ht="12">
      <c r="A98" s="34"/>
      <c r="B98" s="34"/>
      <c r="C98" s="34"/>
      <c r="D98" s="34"/>
      <c r="E98" s="34"/>
      <c r="F98" s="34"/>
      <c r="I98" s="34"/>
      <c r="J98" s="34"/>
    </row>
    <row r="99" spans="1:10" s="69" customFormat="1" ht="12">
      <c r="A99" s="34"/>
      <c r="B99" s="34"/>
      <c r="C99" s="34"/>
      <c r="D99" s="34"/>
      <c r="E99" s="34"/>
      <c r="F99" s="34"/>
      <c r="I99" s="34"/>
      <c r="J99" s="34"/>
    </row>
    <row r="100" spans="1:10" s="69" customFormat="1" ht="12">
      <c r="A100" s="34"/>
      <c r="B100" s="34"/>
      <c r="C100" s="34"/>
      <c r="D100" s="34"/>
      <c r="E100" s="34"/>
      <c r="F100" s="34"/>
      <c r="I100" s="34"/>
      <c r="J100" s="34"/>
    </row>
    <row r="101" spans="1:10" s="69" customFormat="1" ht="12">
      <c r="A101" s="34"/>
      <c r="B101" s="34"/>
      <c r="C101" s="34"/>
      <c r="D101" s="34"/>
      <c r="E101" s="34"/>
      <c r="F101" s="34"/>
      <c r="I101" s="34"/>
      <c r="J101" s="34"/>
    </row>
    <row r="102" spans="1:10" s="69" customFormat="1" ht="12">
      <c r="A102" s="34"/>
      <c r="B102" s="34"/>
      <c r="C102" s="34"/>
      <c r="D102" s="34"/>
      <c r="E102" s="34"/>
      <c r="F102" s="34"/>
      <c r="I102" s="34"/>
      <c r="J102" s="34"/>
    </row>
    <row r="103" spans="1:10" s="69" customFormat="1" ht="12">
      <c r="A103" s="34"/>
      <c r="B103" s="34"/>
      <c r="C103" s="34"/>
      <c r="D103" s="34"/>
      <c r="E103" s="34"/>
      <c r="F103" s="34"/>
      <c r="I103" s="34"/>
      <c r="J103" s="34"/>
    </row>
    <row r="104" spans="1:10" s="69" customFormat="1" ht="12">
      <c r="A104" s="34"/>
      <c r="B104" s="34"/>
      <c r="C104" s="34"/>
      <c r="D104" s="34"/>
      <c r="E104" s="34"/>
      <c r="F104" s="34"/>
      <c r="I104" s="34"/>
      <c r="J104" s="34"/>
    </row>
    <row r="105" spans="1:10" s="69" customFormat="1" ht="12">
      <c r="A105" s="34"/>
      <c r="B105" s="34"/>
      <c r="C105" s="34"/>
      <c r="D105" s="34"/>
      <c r="E105" s="34"/>
      <c r="F105" s="34"/>
      <c r="I105" s="34"/>
      <c r="J105" s="34"/>
    </row>
    <row r="106" spans="1:10" s="69" customFormat="1" ht="12">
      <c r="A106" s="34"/>
      <c r="B106" s="34"/>
      <c r="C106" s="34"/>
      <c r="D106" s="34"/>
      <c r="E106" s="34"/>
      <c r="F106" s="34"/>
      <c r="I106" s="34"/>
      <c r="J106" s="34"/>
    </row>
    <row r="107" spans="1:10" s="69" customFormat="1" ht="12">
      <c r="A107" s="34"/>
      <c r="B107" s="34"/>
      <c r="C107" s="34"/>
      <c r="D107" s="34"/>
      <c r="E107" s="34"/>
      <c r="F107" s="34"/>
      <c r="I107" s="34"/>
      <c r="J107" s="34"/>
    </row>
    <row r="108" spans="1:10" s="69" customFormat="1" ht="12">
      <c r="A108" s="34"/>
      <c r="B108" s="34"/>
      <c r="C108" s="34"/>
      <c r="D108" s="34"/>
      <c r="E108" s="34"/>
      <c r="F108" s="34"/>
      <c r="I108" s="34"/>
      <c r="J108" s="34"/>
    </row>
    <row r="109" spans="1:10" s="69" customFormat="1" ht="12">
      <c r="A109" s="34"/>
      <c r="B109" s="34"/>
      <c r="C109" s="34"/>
      <c r="D109" s="34"/>
      <c r="E109" s="34"/>
      <c r="F109" s="34"/>
      <c r="I109" s="34"/>
      <c r="J109" s="34"/>
    </row>
    <row r="110" spans="1:10" s="69" customFormat="1" ht="12">
      <c r="A110" s="34"/>
      <c r="B110" s="34"/>
      <c r="C110" s="34"/>
      <c r="D110" s="34"/>
      <c r="E110" s="34"/>
      <c r="F110" s="34"/>
      <c r="I110" s="34"/>
      <c r="J110" s="34"/>
    </row>
    <row r="111" spans="1:10" s="69" customFormat="1" ht="12">
      <c r="A111" s="34"/>
      <c r="B111" s="34"/>
      <c r="C111" s="34"/>
      <c r="D111" s="34"/>
      <c r="E111" s="34"/>
      <c r="F111" s="34"/>
      <c r="I111" s="34"/>
      <c r="J111" s="34"/>
    </row>
    <row r="112" spans="1:10" s="69" customFormat="1" ht="12">
      <c r="A112" s="34"/>
      <c r="B112" s="34"/>
      <c r="C112" s="34"/>
      <c r="D112" s="34"/>
      <c r="E112" s="34"/>
      <c r="F112" s="34"/>
      <c r="I112" s="34"/>
      <c r="J112" s="34"/>
    </row>
    <row r="113" spans="1:10" s="69" customFormat="1" ht="12">
      <c r="A113" s="34"/>
      <c r="B113" s="34"/>
      <c r="C113" s="34"/>
      <c r="D113" s="34"/>
      <c r="E113" s="34"/>
      <c r="F113" s="34"/>
      <c r="I113" s="34"/>
      <c r="J113" s="34"/>
    </row>
    <row r="114" spans="1:10" s="69" customFormat="1" ht="12">
      <c r="A114" s="34"/>
      <c r="B114" s="34"/>
      <c r="C114" s="34"/>
      <c r="D114" s="34"/>
      <c r="E114" s="34"/>
      <c r="F114" s="34"/>
      <c r="I114" s="34"/>
      <c r="J114" s="34"/>
    </row>
    <row r="115" spans="1:10" s="69" customFormat="1" ht="12">
      <c r="A115" s="34"/>
      <c r="B115" s="34"/>
      <c r="C115" s="34"/>
      <c r="D115" s="34"/>
      <c r="E115" s="34"/>
      <c r="F115" s="34"/>
      <c r="I115" s="34"/>
      <c r="J115" s="34"/>
    </row>
    <row r="116" spans="1:10" s="69" customFormat="1" ht="12">
      <c r="A116" s="34"/>
      <c r="B116" s="34"/>
      <c r="C116" s="34"/>
      <c r="D116" s="34"/>
      <c r="E116" s="34"/>
      <c r="F116" s="34"/>
      <c r="I116" s="34"/>
      <c r="J116" s="34"/>
    </row>
    <row r="117" spans="1:10" s="69" customFormat="1" ht="12">
      <c r="A117" s="34"/>
      <c r="B117" s="34"/>
      <c r="C117" s="34"/>
      <c r="D117" s="34"/>
      <c r="E117" s="34"/>
      <c r="F117" s="34"/>
      <c r="I117" s="34"/>
      <c r="J117" s="34"/>
    </row>
    <row r="118" spans="1:10" s="69" customFormat="1" ht="12">
      <c r="A118" s="34"/>
      <c r="B118" s="34"/>
      <c r="C118" s="34"/>
      <c r="D118" s="34"/>
      <c r="E118" s="34"/>
      <c r="F118" s="34"/>
      <c r="I118" s="34"/>
      <c r="J118" s="34"/>
    </row>
    <row r="119" spans="1:10" s="69" customFormat="1" ht="12">
      <c r="A119" s="34"/>
      <c r="B119" s="34"/>
      <c r="C119" s="34"/>
      <c r="D119" s="34"/>
      <c r="E119" s="34"/>
      <c r="F119" s="34"/>
      <c r="I119" s="34"/>
      <c r="J119" s="34"/>
    </row>
    <row r="120" spans="1:10" s="69" customFormat="1" ht="12">
      <c r="A120" s="34"/>
      <c r="B120" s="34"/>
      <c r="C120" s="34"/>
      <c r="D120" s="34"/>
      <c r="E120" s="34"/>
      <c r="F120" s="34"/>
      <c r="I120" s="34"/>
      <c r="J120" s="34"/>
    </row>
    <row r="121" spans="1:10" s="69" customFormat="1" ht="12">
      <c r="A121" s="34"/>
      <c r="B121" s="34"/>
      <c r="C121" s="34"/>
      <c r="D121" s="34"/>
      <c r="E121" s="34"/>
      <c r="F121" s="34"/>
      <c r="I121" s="34"/>
      <c r="J121" s="34"/>
    </row>
    <row r="122" spans="1:10" s="69" customFormat="1" ht="12">
      <c r="A122" s="34"/>
      <c r="B122" s="34"/>
      <c r="C122" s="34"/>
      <c r="D122" s="34"/>
      <c r="E122" s="34"/>
      <c r="F122" s="34"/>
      <c r="I122" s="34"/>
      <c r="J122" s="34"/>
    </row>
    <row r="123" spans="1:10" s="69" customFormat="1" ht="12">
      <c r="A123" s="34"/>
      <c r="B123" s="34"/>
      <c r="C123" s="34"/>
      <c r="D123" s="34"/>
      <c r="E123" s="34"/>
      <c r="F123" s="34"/>
      <c r="I123" s="34"/>
      <c r="J123" s="34"/>
    </row>
    <row r="124" spans="1:10" s="69" customFormat="1" ht="12">
      <c r="A124" s="34"/>
      <c r="B124" s="34"/>
      <c r="C124" s="34"/>
      <c r="D124" s="34"/>
      <c r="E124" s="34"/>
      <c r="F124" s="34"/>
      <c r="I124" s="34"/>
      <c r="J124" s="34"/>
    </row>
    <row r="125" spans="1:10" s="69" customFormat="1" ht="12">
      <c r="A125" s="34"/>
      <c r="B125" s="34"/>
      <c r="C125" s="34"/>
      <c r="D125" s="34"/>
      <c r="E125" s="34"/>
      <c r="F125" s="34"/>
      <c r="I125" s="34"/>
      <c r="J125" s="34"/>
    </row>
    <row r="126" spans="1:10" s="69" customFormat="1" ht="12">
      <c r="A126" s="34"/>
      <c r="B126" s="34"/>
      <c r="C126" s="34"/>
      <c r="D126" s="34"/>
      <c r="E126" s="34"/>
      <c r="F126" s="34"/>
      <c r="I126" s="34"/>
      <c r="J126" s="34"/>
    </row>
    <row r="127" spans="1:10" s="69" customFormat="1" ht="12">
      <c r="A127" s="34"/>
      <c r="B127" s="34"/>
      <c r="C127" s="34"/>
      <c r="D127" s="34"/>
      <c r="E127" s="34"/>
      <c r="F127" s="34"/>
      <c r="I127" s="34"/>
      <c r="J127" s="34"/>
    </row>
    <row r="128" spans="1:10" s="69" customFormat="1" ht="12">
      <c r="A128" s="34"/>
      <c r="B128" s="34"/>
      <c r="C128" s="34"/>
      <c r="D128" s="34"/>
      <c r="E128" s="34"/>
      <c r="F128" s="34"/>
      <c r="I128" s="34"/>
      <c r="J128" s="34"/>
    </row>
    <row r="129" spans="1:10" s="69" customFormat="1" ht="12">
      <c r="A129" s="34"/>
      <c r="B129" s="34"/>
      <c r="C129" s="34"/>
      <c r="D129" s="34"/>
      <c r="E129" s="34"/>
      <c r="F129" s="34"/>
      <c r="I129" s="34"/>
      <c r="J129" s="34"/>
    </row>
    <row r="130" spans="1:10" s="69" customFormat="1" ht="12">
      <c r="A130" s="34"/>
      <c r="B130" s="34"/>
      <c r="C130" s="34"/>
      <c r="D130" s="34"/>
      <c r="E130" s="34"/>
      <c r="F130" s="34"/>
      <c r="I130" s="34"/>
      <c r="J130" s="34"/>
    </row>
    <row r="131" spans="1:10" s="69" customFormat="1" ht="12">
      <c r="A131" s="34"/>
      <c r="B131" s="34"/>
      <c r="C131" s="34"/>
      <c r="D131" s="34"/>
      <c r="E131" s="34"/>
      <c r="F131" s="34"/>
      <c r="I131" s="34"/>
      <c r="J131" s="34"/>
    </row>
    <row r="132" spans="1:10" s="69" customFormat="1" ht="12">
      <c r="A132" s="34"/>
      <c r="B132" s="34"/>
      <c r="C132" s="34"/>
      <c r="D132" s="34"/>
      <c r="E132" s="34"/>
      <c r="F132" s="34"/>
      <c r="I132" s="34"/>
      <c r="J132" s="34"/>
    </row>
    <row r="133" spans="1:10" s="69" customFormat="1" ht="12">
      <c r="A133" s="34"/>
      <c r="B133" s="34"/>
      <c r="C133" s="34"/>
      <c r="D133" s="34"/>
      <c r="E133" s="34"/>
      <c r="F133" s="34"/>
      <c r="I133" s="34"/>
      <c r="J133" s="34"/>
    </row>
    <row r="134" spans="1:10" s="69" customFormat="1" ht="12">
      <c r="A134" s="34"/>
      <c r="B134" s="34"/>
      <c r="C134" s="34"/>
      <c r="D134" s="34"/>
      <c r="E134" s="34"/>
      <c r="F134" s="34"/>
      <c r="I134" s="34"/>
      <c r="J134" s="34"/>
    </row>
    <row r="135" spans="1:10" s="69" customFormat="1" ht="12">
      <c r="A135" s="34"/>
      <c r="B135" s="34"/>
      <c r="C135" s="34"/>
      <c r="D135" s="34"/>
      <c r="E135" s="34"/>
      <c r="F135" s="34"/>
      <c r="I135" s="34"/>
      <c r="J135" s="34"/>
    </row>
    <row r="136" spans="1:10" s="69" customFormat="1" ht="12">
      <c r="A136" s="34"/>
      <c r="B136" s="34"/>
      <c r="C136" s="34"/>
      <c r="D136" s="34"/>
      <c r="E136" s="34"/>
      <c r="F136" s="34"/>
      <c r="I136" s="34"/>
      <c r="J136" s="34"/>
    </row>
    <row r="137" spans="1:10" s="69" customFormat="1" ht="12">
      <c r="A137" s="34"/>
      <c r="B137" s="34"/>
      <c r="C137" s="34"/>
      <c r="D137" s="34"/>
      <c r="E137" s="34"/>
      <c r="F137" s="34"/>
      <c r="I137" s="34"/>
      <c r="J137" s="34"/>
    </row>
    <row r="138" spans="1:10" s="69" customFormat="1" ht="12">
      <c r="A138" s="34"/>
      <c r="B138" s="34"/>
      <c r="C138" s="34"/>
      <c r="D138" s="34"/>
      <c r="E138" s="34"/>
      <c r="F138" s="34"/>
      <c r="I138" s="34"/>
      <c r="J138" s="34"/>
    </row>
    <row r="139" spans="1:10" s="69" customFormat="1" ht="12">
      <c r="A139" s="34"/>
      <c r="B139" s="34"/>
      <c r="C139" s="34"/>
      <c r="D139" s="34"/>
      <c r="E139" s="34"/>
      <c r="F139" s="34"/>
      <c r="I139" s="34"/>
      <c r="J139" s="34"/>
    </row>
    <row r="140" spans="1:10" s="69" customFormat="1" ht="12">
      <c r="A140" s="34"/>
      <c r="B140" s="34"/>
      <c r="C140" s="34"/>
      <c r="D140" s="34"/>
      <c r="E140" s="34"/>
      <c r="F140" s="34"/>
      <c r="I140" s="34"/>
      <c r="J140" s="34"/>
    </row>
    <row r="141" spans="1:10" s="69" customFormat="1" ht="12">
      <c r="A141" s="34"/>
      <c r="B141" s="34"/>
      <c r="C141" s="34"/>
      <c r="D141" s="34"/>
      <c r="E141" s="34"/>
      <c r="F141" s="34"/>
      <c r="I141" s="34"/>
      <c r="J141" s="34"/>
    </row>
    <row r="142" spans="1:10" s="69" customFormat="1" ht="12">
      <c r="A142" s="34"/>
      <c r="B142" s="34"/>
      <c r="C142" s="34"/>
      <c r="D142" s="34"/>
      <c r="E142" s="34"/>
      <c r="F142" s="34"/>
      <c r="I142" s="34"/>
      <c r="J142" s="34"/>
    </row>
    <row r="143" spans="1:10" s="69" customFormat="1" ht="12">
      <c r="A143" s="34"/>
      <c r="B143" s="34"/>
      <c r="C143" s="34"/>
      <c r="D143" s="34"/>
      <c r="E143" s="34"/>
      <c r="F143" s="34"/>
      <c r="I143" s="34"/>
      <c r="J143" s="34"/>
    </row>
    <row r="144" spans="1:10" s="69" customFormat="1" ht="12">
      <c r="A144" s="34"/>
      <c r="B144" s="34"/>
      <c r="C144" s="34"/>
      <c r="D144" s="34"/>
      <c r="E144" s="34"/>
      <c r="F144" s="34"/>
      <c r="I144" s="34"/>
      <c r="J144" s="34"/>
    </row>
    <row r="145" spans="1:10" s="69" customFormat="1" ht="12">
      <c r="A145" s="34"/>
      <c r="B145" s="34"/>
      <c r="C145" s="34"/>
      <c r="D145" s="34"/>
      <c r="E145" s="34"/>
      <c r="F145" s="34"/>
      <c r="I145" s="34"/>
      <c r="J145" s="34"/>
    </row>
    <row r="146" spans="1:10" s="69" customFormat="1" ht="12">
      <c r="A146" s="34"/>
      <c r="B146" s="34"/>
      <c r="C146" s="34"/>
      <c r="D146" s="34"/>
      <c r="E146" s="34"/>
      <c r="F146" s="34"/>
      <c r="I146" s="34"/>
      <c r="J146" s="34"/>
    </row>
    <row r="147" spans="1:10" s="69" customFormat="1" ht="12">
      <c r="A147" s="34"/>
      <c r="B147" s="34"/>
      <c r="C147" s="34"/>
      <c r="D147" s="34"/>
      <c r="E147" s="34"/>
      <c r="F147" s="34"/>
      <c r="I147" s="34"/>
      <c r="J147" s="34"/>
    </row>
    <row r="148" spans="1:10" s="69" customFormat="1" ht="12">
      <c r="A148" s="34"/>
      <c r="B148" s="34"/>
      <c r="C148" s="34"/>
      <c r="D148" s="34"/>
      <c r="E148" s="34"/>
      <c r="F148" s="34"/>
      <c r="I148" s="34"/>
      <c r="J148" s="34"/>
    </row>
    <row r="149" spans="1:10" s="69" customFormat="1" ht="12">
      <c r="A149" s="34"/>
      <c r="B149" s="34"/>
      <c r="C149" s="34"/>
      <c r="D149" s="34"/>
      <c r="E149" s="34"/>
      <c r="F149" s="34"/>
      <c r="I149" s="34"/>
      <c r="J149" s="34"/>
    </row>
    <row r="150" spans="1:10" s="69" customFormat="1" ht="12">
      <c r="A150" s="34"/>
      <c r="B150" s="34"/>
      <c r="C150" s="34"/>
      <c r="D150" s="34"/>
      <c r="E150" s="34"/>
      <c r="F150" s="34"/>
      <c r="I150" s="34"/>
      <c r="J150" s="34"/>
    </row>
    <row r="151" spans="1:10" s="69" customFormat="1" ht="12">
      <c r="A151" s="34"/>
      <c r="B151" s="34"/>
      <c r="C151" s="34"/>
      <c r="D151" s="34"/>
      <c r="E151" s="34"/>
      <c r="F151" s="34"/>
      <c r="I151" s="34"/>
      <c r="J151" s="34"/>
    </row>
    <row r="152" spans="1:10" s="69" customFormat="1" ht="12">
      <c r="A152" s="34"/>
      <c r="B152" s="34"/>
      <c r="C152" s="34"/>
      <c r="D152" s="34"/>
      <c r="E152" s="34"/>
      <c r="F152" s="34"/>
      <c r="I152" s="34"/>
      <c r="J152" s="34"/>
    </row>
    <row r="153" spans="1:10" s="69" customFormat="1" ht="12">
      <c r="A153" s="34"/>
      <c r="B153" s="34"/>
      <c r="C153" s="34"/>
      <c r="D153" s="34"/>
      <c r="E153" s="34"/>
      <c r="F153" s="34"/>
      <c r="I153" s="34"/>
      <c r="J153" s="34"/>
    </row>
    <row r="154" spans="1:10" s="69" customFormat="1" ht="12">
      <c r="A154" s="34"/>
      <c r="B154" s="34"/>
      <c r="C154" s="34"/>
      <c r="D154" s="34"/>
      <c r="E154" s="34"/>
      <c r="F154" s="34"/>
      <c r="I154" s="34"/>
      <c r="J154" s="34"/>
    </row>
    <row r="155" spans="1:10" s="69" customFormat="1" ht="12">
      <c r="A155" s="34"/>
      <c r="B155" s="34"/>
      <c r="C155" s="34"/>
      <c r="D155" s="34"/>
      <c r="E155" s="34"/>
      <c r="F155" s="34"/>
      <c r="I155" s="34"/>
      <c r="J155" s="34"/>
    </row>
    <row r="156" spans="1:10" s="69" customFormat="1" ht="12">
      <c r="A156" s="34"/>
      <c r="B156" s="34"/>
      <c r="C156" s="34"/>
      <c r="D156" s="34"/>
      <c r="E156" s="34"/>
      <c r="F156" s="34"/>
      <c r="I156" s="34"/>
      <c r="J156" s="34"/>
    </row>
    <row r="157" spans="1:10" s="69" customFormat="1" ht="12">
      <c r="A157" s="34"/>
      <c r="B157" s="34"/>
      <c r="C157" s="34"/>
      <c r="D157" s="34"/>
      <c r="E157" s="34"/>
      <c r="F157" s="34"/>
      <c r="I157" s="34"/>
      <c r="J157" s="34"/>
    </row>
    <row r="158" spans="1:10" s="69" customFormat="1" ht="12">
      <c r="A158" s="34"/>
      <c r="B158" s="34"/>
      <c r="C158" s="34"/>
      <c r="D158" s="34"/>
      <c r="E158" s="34"/>
      <c r="F158" s="34"/>
      <c r="I158" s="34"/>
      <c r="J158" s="34"/>
    </row>
    <row r="159" spans="1:10" s="69" customFormat="1" ht="12">
      <c r="A159" s="34"/>
      <c r="B159" s="34"/>
      <c r="C159" s="34"/>
      <c r="D159" s="34"/>
      <c r="E159" s="34"/>
      <c r="F159" s="34"/>
      <c r="I159" s="34"/>
      <c r="J159" s="34"/>
    </row>
    <row r="160" spans="1:10" s="69" customFormat="1" ht="12">
      <c r="A160" s="34"/>
      <c r="B160" s="34"/>
      <c r="C160" s="34"/>
      <c r="D160" s="34"/>
      <c r="E160" s="34"/>
      <c r="F160" s="34"/>
      <c r="I160" s="34"/>
      <c r="J160" s="34"/>
    </row>
    <row r="161" spans="1:10" s="69" customFormat="1" ht="12">
      <c r="A161" s="34"/>
      <c r="B161" s="34"/>
      <c r="C161" s="34"/>
      <c r="D161" s="34"/>
      <c r="E161" s="34"/>
      <c r="F161" s="34"/>
      <c r="I161" s="34"/>
      <c r="J161" s="34"/>
    </row>
    <row r="162" spans="1:10" s="69" customFormat="1" ht="12">
      <c r="A162" s="34"/>
      <c r="B162" s="34"/>
      <c r="C162" s="34"/>
      <c r="D162" s="34"/>
      <c r="E162" s="34"/>
      <c r="F162" s="34"/>
      <c r="I162" s="34"/>
      <c r="J162" s="34"/>
    </row>
    <row r="163" spans="1:10" s="69" customFormat="1" ht="12">
      <c r="A163" s="34"/>
      <c r="B163" s="34"/>
      <c r="C163" s="34"/>
      <c r="D163" s="34"/>
      <c r="E163" s="34"/>
      <c r="F163" s="34"/>
      <c r="I163" s="34"/>
      <c r="J163" s="34"/>
    </row>
    <row r="164" spans="1:10" s="69" customFormat="1" ht="12">
      <c r="A164" s="34"/>
      <c r="B164" s="34"/>
      <c r="C164" s="34"/>
      <c r="D164" s="34"/>
      <c r="E164" s="34"/>
      <c r="F164" s="34"/>
      <c r="I164" s="34"/>
      <c r="J164" s="34"/>
    </row>
    <row r="165" spans="1:10" s="69" customFormat="1" ht="12">
      <c r="A165" s="34"/>
      <c r="B165" s="34"/>
      <c r="C165" s="34"/>
      <c r="D165" s="34"/>
      <c r="E165" s="34"/>
      <c r="F165" s="34"/>
      <c r="I165" s="34"/>
      <c r="J165" s="34"/>
    </row>
    <row r="166" spans="1:10" s="69" customFormat="1" ht="12">
      <c r="A166" s="34"/>
      <c r="B166" s="34"/>
      <c r="C166" s="34"/>
      <c r="D166" s="34"/>
      <c r="E166" s="34"/>
      <c r="F166" s="34"/>
      <c r="I166" s="34"/>
      <c r="J166" s="34"/>
    </row>
    <row r="167" spans="1:10" s="69" customFormat="1" ht="12">
      <c r="A167" s="34"/>
      <c r="B167" s="34"/>
      <c r="C167" s="34"/>
      <c r="D167" s="34"/>
      <c r="E167" s="34"/>
      <c r="F167" s="34"/>
      <c r="I167" s="34"/>
      <c r="J167" s="34"/>
    </row>
    <row r="168" spans="1:10" s="69" customFormat="1" ht="12">
      <c r="A168" s="34"/>
      <c r="B168" s="34"/>
      <c r="C168" s="34"/>
      <c r="D168" s="34"/>
      <c r="E168" s="34"/>
      <c r="F168" s="34"/>
      <c r="I168" s="34"/>
      <c r="J168" s="34"/>
    </row>
    <row r="169" spans="1:10" s="69" customFormat="1" ht="12">
      <c r="A169" s="34"/>
      <c r="B169" s="34"/>
      <c r="C169" s="34"/>
      <c r="D169" s="34"/>
      <c r="E169" s="34"/>
      <c r="F169" s="34"/>
      <c r="I169" s="34"/>
      <c r="J169" s="34"/>
    </row>
    <row r="170" spans="1:10" s="69" customFormat="1" ht="12">
      <c r="A170" s="34"/>
      <c r="B170" s="34"/>
      <c r="C170" s="34"/>
      <c r="D170" s="34"/>
      <c r="E170" s="34"/>
      <c r="F170" s="34"/>
      <c r="I170" s="34"/>
      <c r="J170" s="34"/>
    </row>
    <row r="171" spans="1:10" s="69" customFormat="1" ht="12">
      <c r="A171" s="34"/>
      <c r="B171" s="34"/>
      <c r="C171" s="34"/>
      <c r="D171" s="34"/>
      <c r="E171" s="34"/>
      <c r="F171" s="34"/>
      <c r="I171" s="34"/>
      <c r="J171" s="34"/>
    </row>
    <row r="172" spans="1:10" s="69" customFormat="1" ht="12">
      <c r="A172" s="34"/>
      <c r="B172" s="34"/>
      <c r="C172" s="34"/>
      <c r="D172" s="34"/>
      <c r="E172" s="34"/>
      <c r="F172" s="34"/>
      <c r="I172" s="34"/>
      <c r="J172" s="34"/>
    </row>
    <row r="173" spans="1:10" s="69" customFormat="1" ht="12">
      <c r="A173" s="34"/>
      <c r="B173" s="34"/>
      <c r="C173" s="34"/>
      <c r="D173" s="34"/>
      <c r="E173" s="34"/>
      <c r="F173" s="34"/>
      <c r="I173" s="34"/>
      <c r="J173" s="34"/>
    </row>
  </sheetData>
  <mergeCells count="5">
    <mergeCell ref="K4:L4"/>
    <mergeCell ref="A68:C68"/>
    <mergeCell ref="D2:E2"/>
    <mergeCell ref="I2:J2"/>
    <mergeCell ref="D3:E3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D21" sqref="D21"/>
    </sheetView>
  </sheetViews>
  <sheetFormatPr defaultColWidth="9" defaultRowHeight="16.5"/>
  <cols>
    <col min="1" max="1" width="11.75" customWidth="1"/>
    <col min="2" max="2" width="10.25" customWidth="1"/>
    <col min="3" max="3" width="13.625" bestFit="1" customWidth="1"/>
    <col min="4" max="4" width="12.25" customWidth="1"/>
    <col min="5" max="5" width="13.75" customWidth="1"/>
    <col min="6" max="6" width="20.375" customWidth="1"/>
  </cols>
  <sheetData>
    <row r="1" spans="1:6" ht="20.45" customHeight="1">
      <c r="A1" s="20" t="s">
        <v>24</v>
      </c>
      <c r="B1" s="19" t="s">
        <v>1</v>
      </c>
      <c r="C1" s="19" t="s">
        <v>14</v>
      </c>
      <c r="D1" s="19" t="s">
        <v>15</v>
      </c>
      <c r="E1" s="19" t="s">
        <v>21</v>
      </c>
      <c r="F1" s="18" t="s">
        <v>22</v>
      </c>
    </row>
    <row r="2" spans="1:6">
      <c r="A2" s="66" t="s">
        <v>23</v>
      </c>
      <c r="B2" s="30" t="s">
        <v>18</v>
      </c>
      <c r="C2" s="6">
        <v>3052200</v>
      </c>
      <c r="D2" s="7">
        <f>C2*10%</f>
        <v>305220</v>
      </c>
      <c r="E2" s="17">
        <f>C2+D2</f>
        <v>3357420</v>
      </c>
      <c r="F2" s="8"/>
    </row>
    <row r="3" spans="1:6">
      <c r="A3" s="67"/>
      <c r="B3" s="30" t="s">
        <v>147</v>
      </c>
      <c r="C3" s="6">
        <v>212063</v>
      </c>
      <c r="D3" s="7">
        <f>C3*10%</f>
        <v>21206.300000000003</v>
      </c>
      <c r="E3" s="17">
        <f>C3+D3</f>
        <v>233269.3</v>
      </c>
      <c r="F3" s="8"/>
    </row>
    <row r="4" spans="1:6">
      <c r="A4" s="54" t="s">
        <v>25</v>
      </c>
      <c r="B4" s="30" t="s">
        <v>19</v>
      </c>
      <c r="C4" s="6">
        <v>2713270</v>
      </c>
      <c r="D4" s="7">
        <f t="shared" ref="D4:D5" si="0">C4*10%</f>
        <v>271327</v>
      </c>
      <c r="E4" s="17">
        <f t="shared" ref="E4:E8" si="1">C4+D4</f>
        <v>2984597</v>
      </c>
      <c r="F4" s="16"/>
    </row>
    <row r="5" spans="1:6">
      <c r="A5" s="54" t="s">
        <v>145</v>
      </c>
      <c r="B5" s="30" t="s">
        <v>19</v>
      </c>
      <c r="C5" s="6">
        <v>2713270</v>
      </c>
      <c r="D5" s="7">
        <f t="shared" si="0"/>
        <v>271327</v>
      </c>
      <c r="E5" s="17">
        <f t="shared" si="1"/>
        <v>2984597</v>
      </c>
      <c r="F5" s="16"/>
    </row>
    <row r="6" spans="1:6">
      <c r="A6" s="54" t="s">
        <v>26</v>
      </c>
      <c r="B6" s="30" t="s">
        <v>19</v>
      </c>
      <c r="C6" s="6">
        <v>2713270</v>
      </c>
      <c r="D6" s="7">
        <f t="shared" ref="D6:D8" si="2">C6*10%</f>
        <v>271327</v>
      </c>
      <c r="E6" s="17">
        <f t="shared" si="1"/>
        <v>2984597</v>
      </c>
      <c r="F6" s="16"/>
    </row>
    <row r="7" spans="1:6">
      <c r="A7" s="54" t="s">
        <v>27</v>
      </c>
      <c r="B7" s="30" t="s">
        <v>19</v>
      </c>
      <c r="C7" s="6">
        <v>2713270</v>
      </c>
      <c r="D7" s="7">
        <f t="shared" si="2"/>
        <v>271327</v>
      </c>
      <c r="E7" s="17">
        <f t="shared" si="1"/>
        <v>2984597</v>
      </c>
      <c r="F7" s="16"/>
    </row>
    <row r="8" spans="1:6">
      <c r="A8" s="54" t="s">
        <v>146</v>
      </c>
      <c r="B8" s="30" t="s">
        <v>19</v>
      </c>
      <c r="C8" s="6">
        <v>2713270</v>
      </c>
      <c r="D8" s="7">
        <f t="shared" si="2"/>
        <v>271327</v>
      </c>
      <c r="E8" s="17">
        <f t="shared" si="1"/>
        <v>2984597</v>
      </c>
      <c r="F8" s="16"/>
    </row>
    <row r="9" spans="1:6" ht="23.45" customHeight="1" thickBot="1">
      <c r="A9" s="64" t="s">
        <v>20</v>
      </c>
      <c r="B9" s="65"/>
      <c r="C9" s="15">
        <f>SUM(C2:C8)</f>
        <v>16830613</v>
      </c>
      <c r="D9" s="15">
        <f>SUM(D2:D8)</f>
        <v>1683061.3</v>
      </c>
      <c r="E9" s="14">
        <f>SUM(E2:E8)</f>
        <v>18513674.300000001</v>
      </c>
      <c r="F9" s="13"/>
    </row>
    <row r="10" spans="1:6">
      <c r="A10" s="3"/>
    </row>
    <row r="11" spans="1:6">
      <c r="A11" s="3"/>
    </row>
    <row r="12" spans="1:6">
      <c r="A12" s="3"/>
    </row>
    <row r="13" spans="1:6">
      <c r="A13" s="3"/>
    </row>
    <row r="14" spans="1:6">
      <c r="A14" s="3"/>
    </row>
    <row r="15" spans="1:6">
      <c r="A15" s="3"/>
    </row>
  </sheetData>
  <mergeCells count="2">
    <mergeCell ref="A9:B9"/>
    <mergeCell ref="A2:A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2월매출</vt:lpstr>
      <vt:lpstr>광화문(문구)</vt:lpstr>
      <vt:lpstr>개별내역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 재상</dc:creator>
  <cp:lastModifiedBy>hottracks</cp:lastModifiedBy>
  <cp:lastPrinted>2018-08-21T01:48:07Z</cp:lastPrinted>
  <dcterms:created xsi:type="dcterms:W3CDTF">2018-06-29T04:42:40Z</dcterms:created>
  <dcterms:modified xsi:type="dcterms:W3CDTF">2026-03-06T10:12:36Z</dcterms:modified>
</cp:coreProperties>
</file>