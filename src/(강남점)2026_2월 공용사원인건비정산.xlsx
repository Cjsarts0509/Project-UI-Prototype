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최경운 25년\2026년 공용사원_본사 제출용\"/>
    </mc:Choice>
  </mc:AlternateContent>
  <bookViews>
    <workbookView xWindow="-120" yWindow="-120" windowWidth="29040" windowHeight="15840"/>
  </bookViews>
  <sheets>
    <sheet name="강남점 2월" sheetId="2" r:id="rId1"/>
  </sheets>
  <definedNames>
    <definedName name="_xlnm._FilterDatabase" localSheetId="0" hidden="1">'강남점 2월'!$B$5:$F$5</definedName>
    <definedName name="_xlnm.Print_Area" localSheetId="0">'강남점 2월'!$A$1:$G$62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2" l="1"/>
  <c r="D61" i="2" l="1"/>
  <c r="E55" i="2" s="1"/>
  <c r="F55" i="2" s="1"/>
  <c r="E25" i="2" l="1"/>
  <c r="F25" i="2" s="1"/>
  <c r="E27" i="2"/>
  <c r="F27" i="2" s="1"/>
  <c r="E28" i="2"/>
  <c r="F28" i="2" s="1"/>
  <c r="E29" i="2"/>
  <c r="F29" i="2" s="1"/>
  <c r="E31" i="2"/>
  <c r="F31" i="2" s="1"/>
  <c r="E41" i="2"/>
  <c r="F41" i="2" s="1"/>
  <c r="E7" i="2"/>
  <c r="F7" i="2" s="1"/>
  <c r="E45" i="2"/>
  <c r="F45" i="2" s="1"/>
  <c r="E9" i="2"/>
  <c r="F9" i="2" s="1"/>
  <c r="E46" i="2"/>
  <c r="F46" i="2" s="1"/>
  <c r="E10" i="2"/>
  <c r="F10" i="2" s="1"/>
  <c r="E47" i="2"/>
  <c r="F47" i="2" s="1"/>
  <c r="E11" i="2"/>
  <c r="F11" i="2" s="1"/>
  <c r="E49" i="2"/>
  <c r="F49" i="2" s="1"/>
  <c r="E23" i="2"/>
  <c r="F23" i="2" s="1"/>
  <c r="E12" i="2"/>
  <c r="F12" i="2" s="1"/>
  <c r="E51" i="2"/>
  <c r="F51" i="2" s="1"/>
  <c r="E56" i="2"/>
  <c r="F56" i="2" s="1"/>
  <c r="E33" i="2"/>
  <c r="F33" i="2" s="1"/>
  <c r="E53" i="2"/>
  <c r="F53" i="2" s="1"/>
  <c r="E16" i="2"/>
  <c r="F16" i="2" s="1"/>
  <c r="E36" i="2"/>
  <c r="F36" i="2" s="1"/>
  <c r="E19" i="2"/>
  <c r="F19" i="2" s="1"/>
  <c r="E37" i="2"/>
  <c r="F37" i="2" s="1"/>
  <c r="E60" i="2"/>
  <c r="F60" i="2" s="1"/>
  <c r="E13" i="2"/>
  <c r="F13" i="2" s="1"/>
  <c r="E52" i="2"/>
  <c r="F52" i="2" s="1"/>
  <c r="E15" i="2"/>
  <c r="F15" i="2" s="1"/>
  <c r="E34" i="2"/>
  <c r="F34" i="2" s="1"/>
  <c r="E35" i="2"/>
  <c r="F35" i="2" s="1"/>
  <c r="E17" i="2"/>
  <c r="F17" i="2" s="1"/>
  <c r="E21" i="2"/>
  <c r="F21" i="2" s="1"/>
  <c r="E40" i="2"/>
  <c r="F40" i="2" s="1"/>
  <c r="E59" i="2"/>
  <c r="F59" i="2" s="1"/>
  <c r="E6" i="2"/>
  <c r="F6" i="2" s="1"/>
  <c r="E22" i="2"/>
  <c r="F22" i="2" s="1"/>
  <c r="E39" i="2"/>
  <c r="F39" i="2" s="1"/>
  <c r="E57" i="2"/>
  <c r="F57" i="2" s="1"/>
  <c r="E58" i="2"/>
  <c r="F58" i="2" s="1"/>
  <c r="E18" i="2"/>
  <c r="F18" i="2" s="1"/>
  <c r="E24" i="2"/>
  <c r="F24" i="2" s="1"/>
  <c r="E30" i="2"/>
  <c r="F30" i="2" s="1"/>
  <c r="E42" i="2"/>
  <c r="F42" i="2" s="1"/>
  <c r="E48" i="2"/>
  <c r="F48" i="2" s="1"/>
  <c r="E43" i="2"/>
  <c r="F43" i="2" s="1"/>
  <c r="E54" i="2"/>
  <c r="F54" i="2" s="1"/>
  <c r="E8" i="2"/>
  <c r="F8" i="2" s="1"/>
  <c r="E14" i="2"/>
  <c r="F14" i="2" s="1"/>
  <c r="E20" i="2"/>
  <c r="F20" i="2" s="1"/>
  <c r="E26" i="2"/>
  <c r="F26" i="2" s="1"/>
  <c r="E32" i="2"/>
  <c r="F32" i="2" s="1"/>
  <c r="E38" i="2"/>
  <c r="F38" i="2" s="1"/>
  <c r="E44" i="2"/>
  <c r="F44" i="2" s="1"/>
  <c r="E50" i="2"/>
  <c r="F50" i="2" s="1"/>
  <c r="E61" i="2" l="1"/>
  <c r="F61" i="2" s="1"/>
</calcChain>
</file>

<file path=xl/sharedStrings.xml><?xml version="1.0" encoding="utf-8"?>
<sst xmlns="http://schemas.openxmlformats.org/spreadsheetml/2006/main" count="225" uniqueCount="152">
  <si>
    <t>*노란색 음영 도급업체작성</t>
    <phoneticPr fontId="3" type="noConversion"/>
  </si>
  <si>
    <t>영업점</t>
    <phoneticPr fontId="3" type="noConversion"/>
  </si>
  <si>
    <t>강남점</t>
  </si>
  <si>
    <t>공제대상자</t>
    <phoneticPr fontId="3" type="noConversion"/>
  </si>
  <si>
    <t>* 핫트랙스 작성</t>
    <phoneticPr fontId="3" type="noConversion"/>
  </si>
  <si>
    <t>정산월</t>
    <phoneticPr fontId="3" type="noConversion"/>
  </si>
  <si>
    <t>인건비총액</t>
    <phoneticPr fontId="3" type="noConversion"/>
  </si>
  <si>
    <t>광화문점</t>
    <phoneticPr fontId="3" type="noConversion"/>
  </si>
  <si>
    <t>1월</t>
    <phoneticPr fontId="3" type="noConversion"/>
  </si>
  <si>
    <t>공제액 산출</t>
    <phoneticPr fontId="3" type="noConversion"/>
  </si>
  <si>
    <t>강남점</t>
    <phoneticPr fontId="3" type="noConversion"/>
  </si>
  <si>
    <t>2월</t>
  </si>
  <si>
    <t>구분</t>
    <phoneticPr fontId="3" type="noConversion"/>
  </si>
  <si>
    <t>매입처코드</t>
    <phoneticPr fontId="3" type="noConversion"/>
  </si>
  <si>
    <t>업체명</t>
    <phoneticPr fontId="3" type="noConversion"/>
  </si>
  <si>
    <t>매출금액</t>
    <phoneticPr fontId="3" type="noConversion"/>
  </si>
  <si>
    <t>공제액</t>
    <phoneticPr fontId="3" type="noConversion"/>
  </si>
  <si>
    <t>인건비율</t>
    <phoneticPr fontId="3" type="noConversion"/>
  </si>
  <si>
    <t>기존</t>
    <phoneticPr fontId="3" type="noConversion"/>
  </si>
  <si>
    <t>대구점</t>
    <phoneticPr fontId="3" type="noConversion"/>
  </si>
  <si>
    <t>3월</t>
  </si>
  <si>
    <t>박선영</t>
    <phoneticPr fontId="3" type="noConversion"/>
  </si>
  <si>
    <t>4월</t>
  </si>
  <si>
    <t>5월</t>
  </si>
  <si>
    <t>6월</t>
  </si>
  <si>
    <t>이누리</t>
    <phoneticPr fontId="3" type="noConversion"/>
  </si>
  <si>
    <t>7월</t>
  </si>
  <si>
    <t>8월</t>
  </si>
  <si>
    <t>9월</t>
  </si>
  <si>
    <t>10월</t>
  </si>
  <si>
    <t>11월</t>
  </si>
  <si>
    <t>곽현경</t>
    <phoneticPr fontId="3" type="noConversion"/>
  </si>
  <si>
    <t>12월</t>
  </si>
  <si>
    <t>김미진</t>
    <phoneticPr fontId="3" type="noConversion"/>
  </si>
  <si>
    <t>김민정</t>
    <phoneticPr fontId="3" type="noConversion"/>
  </si>
  <si>
    <t>설지혜</t>
    <phoneticPr fontId="3" type="noConversion"/>
  </si>
  <si>
    <t>합계</t>
    <phoneticPr fontId="3" type="noConversion"/>
  </si>
  <si>
    <t>0803144</t>
  </si>
  <si>
    <t>씨케이세일즈</t>
  </si>
  <si>
    <t>0803158</t>
  </si>
  <si>
    <t>바이풀디자인</t>
  </si>
  <si>
    <t>0803690</t>
  </si>
  <si>
    <t>인디고</t>
  </si>
  <si>
    <t>0803527</t>
  </si>
  <si>
    <t>프론티어통상</t>
  </si>
  <si>
    <t>0817604</t>
  </si>
  <si>
    <t>비온뒤</t>
  </si>
  <si>
    <t>0803503</t>
  </si>
  <si>
    <t>로마네</t>
  </si>
  <si>
    <t>0803222</t>
  </si>
  <si>
    <t>아르디움</t>
  </si>
  <si>
    <t>0803187</t>
  </si>
  <si>
    <t>칠삼이일디자인</t>
  </si>
  <si>
    <t>0812988</t>
  </si>
  <si>
    <t>모트모트</t>
  </si>
  <si>
    <t>0803159</t>
  </si>
  <si>
    <t>안테나샵</t>
  </si>
  <si>
    <t>0803825</t>
  </si>
  <si>
    <t>정인통상</t>
  </si>
  <si>
    <t>0803303</t>
  </si>
  <si>
    <t>이투컬렉션</t>
  </si>
  <si>
    <t>0816525</t>
  </si>
  <si>
    <t>루카랩컴퍼니</t>
  </si>
  <si>
    <t>0811795</t>
  </si>
  <si>
    <t>베르제마넷</t>
  </si>
  <si>
    <t>0807485</t>
  </si>
  <si>
    <t>대시앤도트</t>
  </si>
  <si>
    <t>0816312</t>
  </si>
  <si>
    <t>엠젯패밀리</t>
  </si>
  <si>
    <t>0803289</t>
  </si>
  <si>
    <t>더솜씨</t>
  </si>
  <si>
    <t>0803267</t>
  </si>
  <si>
    <t>플레플레</t>
  </si>
  <si>
    <t>0810588</t>
  </si>
  <si>
    <t>케이디코퍼레이션</t>
  </si>
  <si>
    <t>0810456</t>
  </si>
  <si>
    <t>디앤에프조이필</t>
  </si>
  <si>
    <t>0814876</t>
  </si>
  <si>
    <t>에이치엠플러스</t>
  </si>
  <si>
    <t>0811513</t>
  </si>
  <si>
    <t>캘리엠</t>
  </si>
  <si>
    <t>0803791</t>
  </si>
  <si>
    <t>그린디자인웍스공장</t>
  </si>
  <si>
    <t>0809045</t>
  </si>
  <si>
    <t>DBD</t>
  </si>
  <si>
    <t>0806798</t>
  </si>
  <si>
    <t>이가라인유통</t>
  </si>
  <si>
    <t>0807497</t>
  </si>
  <si>
    <t>학산문화사</t>
  </si>
  <si>
    <t>0817225</t>
  </si>
  <si>
    <t>도혜드로잉</t>
  </si>
  <si>
    <t>0803321</t>
  </si>
  <si>
    <t>아프로캣</t>
  </si>
  <si>
    <t>0815173</t>
  </si>
  <si>
    <t>수앙스</t>
  </si>
  <si>
    <t>0803342</t>
  </si>
  <si>
    <t>코즈모갤러리</t>
  </si>
  <si>
    <t>0813069</t>
  </si>
  <si>
    <t>바이나쿠</t>
  </si>
  <si>
    <t>0803229</t>
  </si>
  <si>
    <t>웨이크업(wakup)</t>
  </si>
  <si>
    <t>디자인피그</t>
  </si>
  <si>
    <t>0803741</t>
  </si>
  <si>
    <t>BST</t>
  </si>
  <si>
    <t>0817528</t>
  </si>
  <si>
    <t>누크코퍼레이션</t>
  </si>
  <si>
    <t>0807002</t>
  </si>
  <si>
    <t>0818036</t>
  </si>
  <si>
    <t>페펜스튜디오</t>
  </si>
  <si>
    <t>0818173</t>
  </si>
  <si>
    <t>디에스컴퍼니</t>
  </si>
  <si>
    <t>0816579</t>
  </si>
  <si>
    <t>모노라이크엘앤비</t>
  </si>
  <si>
    <t>0818305</t>
  </si>
  <si>
    <t>티지오엠</t>
  </si>
  <si>
    <t>0818089</t>
  </si>
  <si>
    <t>이브이큐</t>
  </si>
  <si>
    <t>0816769</t>
  </si>
  <si>
    <t>컴포지션스튜디오</t>
  </si>
  <si>
    <t>0816821</t>
  </si>
  <si>
    <t>프롬더페이지</t>
  </si>
  <si>
    <t>0806456</t>
  </si>
  <si>
    <t>인시즌(연도)</t>
  </si>
  <si>
    <t>0811642</t>
  </si>
  <si>
    <t>아이씨엘</t>
  </si>
  <si>
    <t>0809531</t>
  </si>
  <si>
    <t>인도사이다</t>
  </si>
  <si>
    <t>0817530</t>
  </si>
  <si>
    <t>후추더페퍼</t>
  </si>
  <si>
    <t>0812581</t>
  </si>
  <si>
    <t>제이케이엠디자인</t>
  </si>
  <si>
    <t>0818037</t>
  </si>
  <si>
    <t>신한커머스/로디아</t>
  </si>
  <si>
    <t>0813689</t>
  </si>
  <si>
    <t>페이블렛</t>
  </si>
  <si>
    <t>0811029</t>
  </si>
  <si>
    <t>참돌</t>
  </si>
  <si>
    <t>0803242</t>
  </si>
  <si>
    <t>미니버스</t>
  </si>
  <si>
    <t>0816166</t>
  </si>
  <si>
    <t>해밀</t>
  </si>
  <si>
    <t>0803310</t>
  </si>
  <si>
    <t>유아쏘</t>
  </si>
  <si>
    <t>0818498</t>
  </si>
  <si>
    <t>수키도키(주)</t>
  </si>
  <si>
    <t>0816796</t>
  </si>
  <si>
    <t>마이누</t>
  </si>
  <si>
    <t>2월</t>
    <phoneticPr fontId="3" type="noConversion"/>
  </si>
  <si>
    <t>김민정,이수민,오향미</t>
    <phoneticPr fontId="3" type="noConversion"/>
  </si>
  <si>
    <t>씨케이세일즈 2월 소니엔젤&amp;스미스키 행사 매출</t>
    <phoneticPr fontId="3" type="noConversion"/>
  </si>
  <si>
    <t>씨케이세일즈 2월 소니엔젤&amp;스미스키 행사 매출 제외 한 실제 반영 금액</t>
    <phoneticPr fontId="3" type="noConversion"/>
  </si>
  <si>
    <t>씨케이세일즈 2월 총매출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</si>
</sst>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43" formatCode="_-* #,##0.00_-;\-* #,##0.00_-;_-* &quot;-&quot;??_-;_-@_-"/>
    <numFmt numFmtId="176" formatCode="0;[Red]0"/>
    <numFmt numFmtId="177" formatCode="#,##0_);[Red]\(#,##0\)"/>
    <numFmt numFmtId="178" formatCode="#,##0_ "/>
    <numFmt numFmtId="179" formatCode="_-* #,##0_-;\-* #,##0_-;_-* &quot;-&quot;??_-;_-@_-"/>
    <numFmt numFmtId="180" formatCode="0.0%"/>
  </numFmts>
  <fonts count="1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Tahoma"/>
      <family val="2"/>
    </font>
    <font>
      <sz val="9"/>
      <color theme="1"/>
      <name val="맑은 고딕"/>
      <family val="3"/>
      <charset val="129"/>
      <scheme val="minor"/>
    </font>
    <font>
      <sz val="9"/>
      <color theme="1"/>
      <name val="Gulim"/>
      <family val="3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0" borderId="2" xfId="0" applyFont="1" applyBorder="1">
      <alignment vertical="center"/>
    </xf>
    <xf numFmtId="0" fontId="4" fillId="3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76" fontId="5" fillId="2" borderId="6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77" fontId="6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1" fontId="0" fillId="0" borderId="0" xfId="1" applyFont="1">
      <alignment vertical="center"/>
    </xf>
    <xf numFmtId="9" fontId="0" fillId="0" borderId="0" xfId="2" applyFont="1">
      <alignment vertical="center"/>
    </xf>
    <xf numFmtId="0" fontId="0" fillId="0" borderId="1" xfId="0" applyBorder="1">
      <alignment vertical="center"/>
    </xf>
    <xf numFmtId="49" fontId="7" fillId="0" borderId="0" xfId="0" applyNumberFormat="1" applyFont="1" applyAlignment="1">
      <alignment horizontal="center" vertical="center" wrapText="1"/>
    </xf>
    <xf numFmtId="178" fontId="9" fillId="0" borderId="0" xfId="0" applyNumberFormat="1" applyFont="1" applyAlignment="1">
      <alignment horizontal="right" vertical="center" wrapText="1"/>
    </xf>
    <xf numFmtId="49" fontId="9" fillId="0" borderId="0" xfId="0" applyNumberFormat="1" applyFont="1" applyAlignment="1">
      <alignment horizontal="center" vertical="center" wrapText="1"/>
    </xf>
    <xf numFmtId="0" fontId="2" fillId="0" borderId="0" xfId="0" applyFont="1">
      <alignment vertical="center"/>
    </xf>
    <xf numFmtId="43" fontId="0" fillId="0" borderId="0" xfId="0" applyNumberFormat="1">
      <alignment vertical="center"/>
    </xf>
    <xf numFmtId="43" fontId="0" fillId="0" borderId="0" xfId="0" applyNumberFormat="1" applyAlignment="1">
      <alignment horizontal="center" vertical="center"/>
    </xf>
    <xf numFmtId="179" fontId="5" fillId="0" borderId="1" xfId="1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77" fontId="12" fillId="0" borderId="0" xfId="2" applyNumberFormat="1" applyFont="1">
      <alignment vertical="center"/>
    </xf>
    <xf numFmtId="9" fontId="11" fillId="0" borderId="0" xfId="2" applyFont="1">
      <alignment vertical="center"/>
    </xf>
    <xf numFmtId="179" fontId="10" fillId="0" borderId="1" xfId="1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 wrapText="1"/>
    </xf>
    <xf numFmtId="178" fontId="8" fillId="0" borderId="0" xfId="0" applyNumberFormat="1" applyFont="1" applyAlignment="1">
      <alignment horizontal="right" vertical="center" wrapText="1"/>
    </xf>
    <xf numFmtId="0" fontId="5" fillId="6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3" fillId="5" borderId="1" xfId="0" applyFont="1" applyFill="1" applyBorder="1" applyAlignment="1">
      <alignment horizontal="center" vertical="center"/>
    </xf>
    <xf numFmtId="180" fontId="5" fillId="0" borderId="1" xfId="2" applyNumberFormat="1" applyFont="1" applyBorder="1">
      <alignment vertical="center"/>
    </xf>
    <xf numFmtId="178" fontId="7" fillId="0" borderId="7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178" fontId="7" fillId="0" borderId="7" xfId="0" applyNumberFormat="1" applyFont="1" applyBorder="1" applyAlignment="1">
      <alignment horizontal="right" vertical="center" wrapText="1"/>
    </xf>
    <xf numFmtId="178" fontId="7" fillId="0" borderId="8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/>
    </xf>
    <xf numFmtId="3" fontId="0" fillId="0" borderId="1" xfId="0" applyNumberFormat="1" applyBorder="1">
      <alignment vertical="center"/>
    </xf>
    <xf numFmtId="3" fontId="0" fillId="0" borderId="17" xfId="0" applyNumberFormat="1" applyBorder="1">
      <alignment vertical="center"/>
    </xf>
    <xf numFmtId="0" fontId="0" fillId="0" borderId="17" xfId="0" applyBorder="1" applyAlignment="1">
      <alignment vertical="center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left" vertical="center" wrapText="1"/>
    </xf>
    <xf numFmtId="178" fontId="7" fillId="0" borderId="7" xfId="0" applyNumberFormat="1" applyFont="1" applyBorder="1" applyAlignment="1">
      <alignment horizontal="right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left" vertical="center" wrapText="1"/>
    </xf>
    <xf numFmtId="178" fontId="7" fillId="0" borderId="8" xfId="0" applyNumberFormat="1" applyFont="1" applyBorder="1" applyAlignment="1">
      <alignment horizontal="right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0" fillId="0" borderId="11" xfId="0" applyBorder="1">
      <alignment vertical="center"/>
    </xf>
    <xf numFmtId="0" fontId="0" fillId="0" borderId="0" xfId="0" applyAlignment="1">
      <alignment horizontal="center" vertical="center"/>
    </xf>
    <xf numFmtId="41" fontId="5" fillId="2" borderId="12" xfId="1" applyFont="1" applyFill="1" applyBorder="1" applyAlignment="1">
      <alignment horizontal="center" vertical="center"/>
    </xf>
    <xf numFmtId="41" fontId="5" fillId="2" borderId="13" xfId="1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4" borderId="1" xfId="0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W66"/>
  <sheetViews>
    <sheetView tabSelected="1" topLeftCell="A4" zoomScaleNormal="100" zoomScaleSheetLayoutView="85" workbookViewId="0">
      <selection activeCell="P6" sqref="P6:W6"/>
    </sheetView>
  </sheetViews>
  <sheetFormatPr defaultColWidth="9" defaultRowHeight="16.5"/>
  <cols>
    <col min="1" max="1" width="9" style="38"/>
    <col min="2" max="2" width="11" style="38" bestFit="1" customWidth="1"/>
    <col min="3" max="3" width="19.75" style="38" customWidth="1"/>
    <col min="4" max="4" width="15.125" style="38" customWidth="1"/>
    <col min="5" max="5" width="14.125" style="38" customWidth="1"/>
    <col min="6" max="6" width="12.375" style="31" customWidth="1"/>
    <col min="7" max="7" width="0" style="35" hidden="1" customWidth="1"/>
    <col min="8" max="8" width="10.625" style="35" customWidth="1"/>
    <col min="9" max="9" width="11.5" style="38" customWidth="1"/>
    <col min="10" max="10" width="11.875" style="38" bestFit="1" customWidth="1"/>
    <col min="11" max="12" width="9" style="35" hidden="1" customWidth="1"/>
    <col min="13" max="13" width="9" style="35"/>
    <col min="14" max="14" width="10.875" style="35" bestFit="1" customWidth="1"/>
    <col min="15" max="15" width="12.375" style="35" customWidth="1"/>
    <col min="16" max="16384" width="9" style="35"/>
  </cols>
  <sheetData>
    <row r="1" spans="1:23" ht="17.25" thickBot="1">
      <c r="A1" s="1"/>
      <c r="B1" s="2" t="s">
        <v>0</v>
      </c>
      <c r="C1" s="2"/>
      <c r="D1" s="20">
        <v>4</v>
      </c>
      <c r="E1" s="20"/>
    </row>
    <row r="2" spans="1:23">
      <c r="A2" s="3" t="s">
        <v>1</v>
      </c>
      <c r="B2" s="4" t="s">
        <v>2</v>
      </c>
      <c r="C2" s="5" t="s">
        <v>3</v>
      </c>
      <c r="D2" s="57" t="s">
        <v>148</v>
      </c>
      <c r="E2" s="58"/>
      <c r="F2" s="59"/>
      <c r="I2" s="60" t="s">
        <v>4</v>
      </c>
      <c r="J2" s="60"/>
      <c r="O2" s="40"/>
      <c r="P2" s="41"/>
      <c r="Q2" s="41"/>
      <c r="R2" s="41"/>
      <c r="S2" s="41"/>
      <c r="T2" s="41"/>
      <c r="U2" s="41"/>
    </row>
    <row r="3" spans="1:23" ht="17.25" thickBot="1">
      <c r="A3" s="6" t="s">
        <v>5</v>
      </c>
      <c r="B3" s="7" t="s">
        <v>147</v>
      </c>
      <c r="C3" s="8" t="s">
        <v>6</v>
      </c>
      <c r="D3" s="61">
        <v>10217369</v>
      </c>
      <c r="E3" s="62"/>
      <c r="F3" s="63"/>
      <c r="H3" s="9"/>
      <c r="K3" s="35" t="s">
        <v>7</v>
      </c>
      <c r="L3" s="35" t="s">
        <v>8</v>
      </c>
      <c r="O3" s="40"/>
      <c r="P3" s="41"/>
      <c r="Q3" s="41"/>
      <c r="R3" s="41"/>
      <c r="S3" s="41"/>
      <c r="T3" s="41"/>
      <c r="U3" s="41"/>
    </row>
    <row r="4" spans="1:23">
      <c r="A4" s="10"/>
      <c r="B4" s="10"/>
      <c r="C4" s="10"/>
      <c r="D4" s="10"/>
      <c r="E4" s="10"/>
      <c r="H4" s="9"/>
      <c r="I4" s="64" t="s">
        <v>9</v>
      </c>
      <c r="J4" s="64"/>
      <c r="K4" s="35" t="s">
        <v>10</v>
      </c>
      <c r="L4" s="35" t="s">
        <v>11</v>
      </c>
      <c r="O4" s="43"/>
      <c r="P4" s="44"/>
      <c r="Q4" s="44"/>
      <c r="R4" s="44"/>
      <c r="S4" s="44"/>
      <c r="T4" s="44"/>
      <c r="U4" s="44"/>
      <c r="V4" s="44"/>
      <c r="W4" s="44"/>
    </row>
    <row r="5" spans="1:23">
      <c r="A5" s="11" t="s">
        <v>12</v>
      </c>
      <c r="B5" s="11" t="s">
        <v>13</v>
      </c>
      <c r="C5" s="11" t="s">
        <v>14</v>
      </c>
      <c r="D5" s="12" t="s">
        <v>15</v>
      </c>
      <c r="E5" s="12" t="s">
        <v>16</v>
      </c>
      <c r="F5" s="32" t="s">
        <v>17</v>
      </c>
      <c r="G5" s="13" t="s">
        <v>18</v>
      </c>
      <c r="H5" s="9"/>
      <c r="I5" s="39" t="s">
        <v>13</v>
      </c>
      <c r="J5" s="39" t="s">
        <v>15</v>
      </c>
      <c r="K5" s="35" t="s">
        <v>19</v>
      </c>
      <c r="L5" s="35" t="s">
        <v>20</v>
      </c>
      <c r="O5" s="42">
        <v>53698790</v>
      </c>
      <c r="P5" s="56" t="s">
        <v>151</v>
      </c>
      <c r="Q5" s="56"/>
      <c r="R5" s="56"/>
      <c r="S5" s="56"/>
      <c r="T5" s="56"/>
      <c r="U5" s="56"/>
      <c r="V5" s="56"/>
      <c r="W5" s="56"/>
    </row>
    <row r="6" spans="1:23">
      <c r="A6" s="11">
        <v>1</v>
      </c>
      <c r="B6" s="45" t="s">
        <v>37</v>
      </c>
      <c r="C6" s="46" t="s">
        <v>38</v>
      </c>
      <c r="D6" s="47">
        <v>17270650</v>
      </c>
      <c r="E6" s="23">
        <f t="shared" ref="E6:E37" si="0">(D6/$D$61*100)%*$D$3</f>
        <v>1027484.7079917785</v>
      </c>
      <c r="F6" s="33">
        <f>E6/D6</f>
        <v>5.949311160794634E-2</v>
      </c>
      <c r="G6" s="24" t="s">
        <v>21</v>
      </c>
      <c r="H6" s="25"/>
      <c r="I6" s="45" t="s">
        <v>37</v>
      </c>
      <c r="J6" s="47">
        <v>17270650</v>
      </c>
      <c r="K6" s="36">
        <v>14199710</v>
      </c>
      <c r="L6" s="35" t="s">
        <v>22</v>
      </c>
      <c r="N6" s="14"/>
      <c r="O6" s="42">
        <v>36428140</v>
      </c>
      <c r="P6" s="53" t="s">
        <v>149</v>
      </c>
      <c r="Q6" s="54"/>
      <c r="R6" s="54"/>
      <c r="S6" s="54"/>
      <c r="T6" s="54"/>
      <c r="U6" s="54"/>
      <c r="V6" s="54"/>
      <c r="W6" s="55"/>
    </row>
    <row r="7" spans="1:23">
      <c r="A7" s="11">
        <v>2</v>
      </c>
      <c r="B7" s="48" t="s">
        <v>43</v>
      </c>
      <c r="C7" s="49" t="s">
        <v>44</v>
      </c>
      <c r="D7" s="50">
        <v>10683650</v>
      </c>
      <c r="E7" s="23">
        <f t="shared" si="0"/>
        <v>635603.5818302359</v>
      </c>
      <c r="F7" s="33">
        <f t="shared" ref="F7:F58" si="1">E7/D7</f>
        <v>5.949311160794634E-2</v>
      </c>
      <c r="G7" s="24" t="s">
        <v>21</v>
      </c>
      <c r="H7" s="26"/>
      <c r="I7" s="48" t="s">
        <v>43</v>
      </c>
      <c r="J7" s="50">
        <v>10683650</v>
      </c>
      <c r="K7" s="37">
        <v>10381940</v>
      </c>
      <c r="L7" s="35" t="s">
        <v>23</v>
      </c>
      <c r="O7" s="42">
        <f>O5-O6</f>
        <v>17270650</v>
      </c>
      <c r="P7" s="53" t="s">
        <v>150</v>
      </c>
      <c r="Q7" s="54"/>
      <c r="R7" s="54"/>
      <c r="S7" s="54"/>
      <c r="T7" s="54"/>
      <c r="U7" s="54"/>
      <c r="V7" s="54"/>
      <c r="W7" s="55"/>
    </row>
    <row r="8" spans="1:23">
      <c r="A8" s="11">
        <v>3</v>
      </c>
      <c r="B8" s="48" t="s">
        <v>47</v>
      </c>
      <c r="C8" s="49" t="s">
        <v>48</v>
      </c>
      <c r="D8" s="50">
        <v>8840720</v>
      </c>
      <c r="E8" s="23">
        <f t="shared" si="0"/>
        <v>525961.94165460346</v>
      </c>
      <c r="F8" s="33">
        <f t="shared" si="1"/>
        <v>5.9493111607946354E-2</v>
      </c>
      <c r="G8" s="24"/>
      <c r="H8" s="26"/>
      <c r="I8" s="48" t="s">
        <v>47</v>
      </c>
      <c r="J8" s="50">
        <v>8840720</v>
      </c>
      <c r="K8" s="37">
        <v>8402200</v>
      </c>
      <c r="L8" s="35" t="s">
        <v>24</v>
      </c>
    </row>
    <row r="9" spans="1:23">
      <c r="A9" s="11">
        <v>4</v>
      </c>
      <c r="B9" s="48" t="s">
        <v>85</v>
      </c>
      <c r="C9" s="49" t="s">
        <v>86</v>
      </c>
      <c r="D9" s="50">
        <v>8586300</v>
      </c>
      <c r="E9" s="23">
        <f t="shared" si="0"/>
        <v>510825.70419930975</v>
      </c>
      <c r="F9" s="33">
        <f t="shared" si="1"/>
        <v>5.9493111607946347E-2</v>
      </c>
      <c r="G9" s="24" t="s">
        <v>25</v>
      </c>
      <c r="H9" s="26"/>
      <c r="I9" s="48" t="s">
        <v>85</v>
      </c>
      <c r="J9" s="50">
        <v>8586300</v>
      </c>
      <c r="K9" s="37">
        <v>8396210</v>
      </c>
      <c r="L9" s="35" t="s">
        <v>26</v>
      </c>
    </row>
    <row r="10" spans="1:23">
      <c r="A10" s="11">
        <v>5</v>
      </c>
      <c r="B10" s="48" t="s">
        <v>53</v>
      </c>
      <c r="C10" s="49" t="s">
        <v>54</v>
      </c>
      <c r="D10" s="50">
        <v>8387620</v>
      </c>
      <c r="E10" s="23">
        <f t="shared" si="0"/>
        <v>499005.6127850429</v>
      </c>
      <c r="F10" s="33">
        <f t="shared" si="1"/>
        <v>5.949311160794634E-2</v>
      </c>
      <c r="G10" s="24"/>
      <c r="H10" s="26"/>
      <c r="I10" s="48" t="s">
        <v>53</v>
      </c>
      <c r="J10" s="50">
        <v>8387620</v>
      </c>
      <c r="K10" s="37">
        <v>8211700</v>
      </c>
      <c r="L10" s="35" t="s">
        <v>27</v>
      </c>
    </row>
    <row r="11" spans="1:23">
      <c r="A11" s="11">
        <v>6</v>
      </c>
      <c r="B11" s="48" t="s">
        <v>41</v>
      </c>
      <c r="C11" s="49" t="s">
        <v>42</v>
      </c>
      <c r="D11" s="50">
        <v>8253250</v>
      </c>
      <c r="E11" s="23">
        <f t="shared" si="0"/>
        <v>491011.52337828313</v>
      </c>
      <c r="F11" s="33">
        <f t="shared" si="1"/>
        <v>5.949311160794634E-2</v>
      </c>
      <c r="G11" s="24"/>
      <c r="H11" s="26"/>
      <c r="I11" s="48" t="s">
        <v>41</v>
      </c>
      <c r="J11" s="50">
        <v>8253250</v>
      </c>
      <c r="K11" s="37">
        <v>4822830</v>
      </c>
      <c r="L11" s="35" t="s">
        <v>28</v>
      </c>
    </row>
    <row r="12" spans="1:23">
      <c r="A12" s="11">
        <v>7</v>
      </c>
      <c r="B12" s="48" t="s">
        <v>45</v>
      </c>
      <c r="C12" s="49" t="s">
        <v>46</v>
      </c>
      <c r="D12" s="50">
        <v>7953160</v>
      </c>
      <c r="E12" s="23">
        <f t="shared" si="0"/>
        <v>473158.23551585455</v>
      </c>
      <c r="F12" s="33">
        <f t="shared" si="1"/>
        <v>5.9493111607946347E-2</v>
      </c>
      <c r="G12" s="24"/>
      <c r="H12" s="26"/>
      <c r="I12" s="48" t="s">
        <v>45</v>
      </c>
      <c r="J12" s="50">
        <v>7953160</v>
      </c>
      <c r="K12" s="37">
        <v>4349360</v>
      </c>
      <c r="L12" s="35" t="s">
        <v>29</v>
      </c>
    </row>
    <row r="13" spans="1:23">
      <c r="A13" s="11">
        <v>8</v>
      </c>
      <c r="B13" s="48" t="s">
        <v>39</v>
      </c>
      <c r="C13" s="49" t="s">
        <v>40</v>
      </c>
      <c r="D13" s="50">
        <v>6248110</v>
      </c>
      <c r="E13" s="23">
        <f t="shared" si="0"/>
        <v>371719.50556872564</v>
      </c>
      <c r="F13" s="33">
        <f t="shared" si="1"/>
        <v>5.9493111607946347E-2</v>
      </c>
      <c r="G13" s="24" t="s">
        <v>25</v>
      </c>
      <c r="H13" s="26"/>
      <c r="I13" s="48" t="s">
        <v>39</v>
      </c>
      <c r="J13" s="50">
        <v>6248110</v>
      </c>
      <c r="K13" s="37">
        <v>3778270</v>
      </c>
      <c r="L13" s="35" t="s">
        <v>30</v>
      </c>
    </row>
    <row r="14" spans="1:23">
      <c r="A14" s="11">
        <v>9</v>
      </c>
      <c r="B14" s="48" t="s">
        <v>145</v>
      </c>
      <c r="C14" s="49" t="s">
        <v>146</v>
      </c>
      <c r="D14" s="50">
        <v>4807000</v>
      </c>
      <c r="E14" s="23">
        <f t="shared" si="0"/>
        <v>285983.38749939809</v>
      </c>
      <c r="F14" s="33">
        <f t="shared" si="1"/>
        <v>5.9493111607946347E-2</v>
      </c>
      <c r="G14" s="24" t="s">
        <v>31</v>
      </c>
      <c r="H14" s="26"/>
      <c r="I14" s="48" t="s">
        <v>145</v>
      </c>
      <c r="J14" s="50">
        <v>4807000</v>
      </c>
      <c r="K14" s="37">
        <v>3700520</v>
      </c>
      <c r="L14" s="35" t="s">
        <v>32</v>
      </c>
    </row>
    <row r="15" spans="1:23">
      <c r="A15" s="11">
        <v>10</v>
      </c>
      <c r="B15" s="48" t="s">
        <v>51</v>
      </c>
      <c r="C15" s="49" t="s">
        <v>52</v>
      </c>
      <c r="D15" s="50">
        <v>4724040</v>
      </c>
      <c r="E15" s="23">
        <f t="shared" si="0"/>
        <v>281047.83896040288</v>
      </c>
      <c r="F15" s="33">
        <f t="shared" si="1"/>
        <v>5.9493111607946347E-2</v>
      </c>
      <c r="G15" s="24"/>
      <c r="H15" s="26"/>
      <c r="I15" s="48" t="s">
        <v>51</v>
      </c>
      <c r="J15" s="50">
        <v>4724040</v>
      </c>
      <c r="K15" s="37">
        <v>3489600</v>
      </c>
    </row>
    <row r="16" spans="1:23">
      <c r="A16" s="11">
        <v>11</v>
      </c>
      <c r="B16" s="48" t="s">
        <v>67</v>
      </c>
      <c r="C16" s="49" t="s">
        <v>68</v>
      </c>
      <c r="D16" s="50">
        <v>4194100</v>
      </c>
      <c r="E16" s="23">
        <f t="shared" si="0"/>
        <v>249520.05939488776</v>
      </c>
      <c r="F16" s="33">
        <f t="shared" si="1"/>
        <v>5.9493111607946347E-2</v>
      </c>
      <c r="G16" s="24" t="s">
        <v>33</v>
      </c>
      <c r="H16" s="26"/>
      <c r="I16" s="48" t="s">
        <v>67</v>
      </c>
      <c r="J16" s="50">
        <v>4194100</v>
      </c>
      <c r="K16" s="37">
        <v>3324890</v>
      </c>
    </row>
    <row r="17" spans="1:11">
      <c r="A17" s="11">
        <v>12</v>
      </c>
      <c r="B17" s="48" t="s">
        <v>49</v>
      </c>
      <c r="C17" s="49" t="s">
        <v>50</v>
      </c>
      <c r="D17" s="50">
        <v>3995430</v>
      </c>
      <c r="E17" s="27">
        <f t="shared" si="0"/>
        <v>237700.56291173704</v>
      </c>
      <c r="F17" s="33">
        <f t="shared" si="1"/>
        <v>5.949311160794634E-2</v>
      </c>
      <c r="G17" s="24"/>
      <c r="H17" s="26"/>
      <c r="I17" s="48" t="s">
        <v>49</v>
      </c>
      <c r="J17" s="50">
        <v>3995430</v>
      </c>
      <c r="K17" s="37">
        <v>3188470</v>
      </c>
    </row>
    <row r="18" spans="1:11">
      <c r="A18" s="11">
        <v>13</v>
      </c>
      <c r="B18" s="48" t="s">
        <v>63</v>
      </c>
      <c r="C18" s="49" t="s">
        <v>64</v>
      </c>
      <c r="D18" s="50">
        <v>3906510</v>
      </c>
      <c r="E18" s="23">
        <f t="shared" si="0"/>
        <v>232410.43542755846</v>
      </c>
      <c r="F18" s="33">
        <f t="shared" si="1"/>
        <v>5.949311160794634E-2</v>
      </c>
      <c r="G18" s="24" t="s">
        <v>34</v>
      </c>
      <c r="H18" s="26"/>
      <c r="I18" s="48" t="s">
        <v>63</v>
      </c>
      <c r="J18" s="50">
        <v>3906510</v>
      </c>
      <c r="K18" s="37">
        <v>3064700</v>
      </c>
    </row>
    <row r="19" spans="1:11">
      <c r="A19" s="11">
        <v>14</v>
      </c>
      <c r="B19" s="48" t="s">
        <v>107</v>
      </c>
      <c r="C19" s="49" t="s">
        <v>108</v>
      </c>
      <c r="D19" s="50">
        <v>3882740</v>
      </c>
      <c r="E19" s="23">
        <f t="shared" si="0"/>
        <v>230996.28416463765</v>
      </c>
      <c r="F19" s="33">
        <f t="shared" si="1"/>
        <v>5.9493111607946361E-2</v>
      </c>
      <c r="G19" s="24" t="s">
        <v>35</v>
      </c>
      <c r="H19" s="26"/>
      <c r="I19" s="48" t="s">
        <v>107</v>
      </c>
      <c r="J19" s="50">
        <v>3882740</v>
      </c>
      <c r="K19" s="37">
        <v>2892090</v>
      </c>
    </row>
    <row r="20" spans="1:11">
      <c r="A20" s="11">
        <v>15</v>
      </c>
      <c r="B20" s="48" t="s">
        <v>55</v>
      </c>
      <c r="C20" s="49" t="s">
        <v>56</v>
      </c>
      <c r="D20" s="50">
        <v>3704260</v>
      </c>
      <c r="E20" s="23">
        <f t="shared" si="0"/>
        <v>220377.9536048513</v>
      </c>
      <c r="F20" s="33">
        <f t="shared" si="1"/>
        <v>5.9493111607946333E-2</v>
      </c>
      <c r="G20" s="24" t="s">
        <v>35</v>
      </c>
      <c r="H20" s="26"/>
      <c r="I20" s="48" t="s">
        <v>55</v>
      </c>
      <c r="J20" s="50">
        <v>3704260</v>
      </c>
      <c r="K20" s="37">
        <v>2653050</v>
      </c>
    </row>
    <row r="21" spans="1:11">
      <c r="A21" s="11">
        <v>16</v>
      </c>
      <c r="B21" s="48" t="s">
        <v>69</v>
      </c>
      <c r="C21" s="49" t="s">
        <v>70</v>
      </c>
      <c r="D21" s="50">
        <v>3638980</v>
      </c>
      <c r="E21" s="23">
        <f t="shared" si="0"/>
        <v>216494.24327908459</v>
      </c>
      <c r="F21" s="33">
        <f t="shared" si="1"/>
        <v>5.9493111607946347E-2</v>
      </c>
      <c r="G21" s="24" t="s">
        <v>35</v>
      </c>
      <c r="H21" s="26"/>
      <c r="I21" s="48" t="s">
        <v>69</v>
      </c>
      <c r="J21" s="50">
        <v>3638980</v>
      </c>
      <c r="K21" s="37">
        <v>2611200</v>
      </c>
    </row>
    <row r="22" spans="1:11">
      <c r="A22" s="11">
        <v>17</v>
      </c>
      <c r="B22" s="48" t="s">
        <v>73</v>
      </c>
      <c r="C22" s="49" t="s">
        <v>74</v>
      </c>
      <c r="D22" s="50">
        <v>3445740</v>
      </c>
      <c r="E22" s="23">
        <f t="shared" si="0"/>
        <v>204997.79439196503</v>
      </c>
      <c r="F22" s="33">
        <f t="shared" si="1"/>
        <v>5.949311160794634E-2</v>
      </c>
      <c r="G22" s="24" t="s">
        <v>31</v>
      </c>
      <c r="H22" s="26"/>
      <c r="I22" s="48" t="s">
        <v>73</v>
      </c>
      <c r="J22" s="50">
        <v>3445740</v>
      </c>
      <c r="K22" s="37">
        <v>2610510</v>
      </c>
    </row>
    <row r="23" spans="1:11">
      <c r="A23" s="11">
        <v>18</v>
      </c>
      <c r="B23" s="48" t="s">
        <v>111</v>
      </c>
      <c r="C23" s="49" t="s">
        <v>112</v>
      </c>
      <c r="D23" s="50">
        <v>3316680</v>
      </c>
      <c r="E23" s="23">
        <f t="shared" si="0"/>
        <v>197319.61340784346</v>
      </c>
      <c r="F23" s="33">
        <f t="shared" si="1"/>
        <v>5.9493111607946333E-2</v>
      </c>
      <c r="G23" s="24" t="s">
        <v>31</v>
      </c>
      <c r="H23" s="26"/>
      <c r="I23" s="48" t="s">
        <v>111</v>
      </c>
      <c r="J23" s="50">
        <v>3316680</v>
      </c>
      <c r="K23" s="37">
        <v>2461900</v>
      </c>
    </row>
    <row r="24" spans="1:11">
      <c r="A24" s="11">
        <v>19</v>
      </c>
      <c r="B24" s="48" t="s">
        <v>139</v>
      </c>
      <c r="C24" s="49" t="s">
        <v>140</v>
      </c>
      <c r="D24" s="50">
        <v>3085890</v>
      </c>
      <c r="E24" s="23">
        <f t="shared" si="0"/>
        <v>183589.19817984552</v>
      </c>
      <c r="F24" s="33">
        <f t="shared" si="1"/>
        <v>5.949311160794634E-2</v>
      </c>
      <c r="G24" s="24"/>
      <c r="H24" s="26"/>
      <c r="I24" s="48" t="s">
        <v>139</v>
      </c>
      <c r="J24" s="50">
        <v>3085890</v>
      </c>
      <c r="K24" s="37">
        <v>2277820</v>
      </c>
    </row>
    <row r="25" spans="1:11">
      <c r="A25" s="11">
        <v>20</v>
      </c>
      <c r="B25" s="48" t="s">
        <v>119</v>
      </c>
      <c r="C25" s="49" t="s">
        <v>120</v>
      </c>
      <c r="D25" s="50">
        <v>3055450</v>
      </c>
      <c r="E25" s="23">
        <f t="shared" si="0"/>
        <v>181778.22786249965</v>
      </c>
      <c r="F25" s="33">
        <f t="shared" si="1"/>
        <v>5.949311160794634E-2</v>
      </c>
      <c r="G25" s="24" t="s">
        <v>25</v>
      </c>
      <c r="H25" s="26"/>
      <c r="I25" s="48" t="s">
        <v>119</v>
      </c>
      <c r="J25" s="50">
        <v>3055450</v>
      </c>
      <c r="K25" s="37">
        <v>2272700</v>
      </c>
    </row>
    <row r="26" spans="1:11">
      <c r="A26" s="11">
        <v>21</v>
      </c>
      <c r="B26" s="48" t="s">
        <v>57</v>
      </c>
      <c r="C26" s="49" t="s">
        <v>58</v>
      </c>
      <c r="D26" s="50">
        <v>2884070</v>
      </c>
      <c r="E26" s="23">
        <f t="shared" si="0"/>
        <v>171582.29839512979</v>
      </c>
      <c r="F26" s="33">
        <f t="shared" si="1"/>
        <v>5.949311160794634E-2</v>
      </c>
      <c r="G26" s="24" t="s">
        <v>33</v>
      </c>
      <c r="H26" s="26"/>
      <c r="I26" s="48" t="s">
        <v>57</v>
      </c>
      <c r="J26" s="50">
        <v>2884070</v>
      </c>
      <c r="K26" s="37">
        <v>2179650</v>
      </c>
    </row>
    <row r="27" spans="1:11">
      <c r="A27" s="11">
        <v>22</v>
      </c>
      <c r="B27" s="48" t="s">
        <v>65</v>
      </c>
      <c r="C27" s="49" t="s">
        <v>66</v>
      </c>
      <c r="D27" s="50">
        <v>2835520</v>
      </c>
      <c r="E27" s="23">
        <f t="shared" si="0"/>
        <v>168693.90782656401</v>
      </c>
      <c r="F27" s="33">
        <f t="shared" si="1"/>
        <v>5.949311160794634E-2</v>
      </c>
      <c r="G27" s="24" t="s">
        <v>21</v>
      </c>
      <c r="H27" s="26"/>
      <c r="I27" s="48" t="s">
        <v>65</v>
      </c>
      <c r="J27" s="50">
        <v>2835520</v>
      </c>
      <c r="K27" s="37">
        <v>2080480</v>
      </c>
    </row>
    <row r="28" spans="1:11">
      <c r="A28" s="11">
        <v>23</v>
      </c>
      <c r="B28" s="48" t="s">
        <v>79</v>
      </c>
      <c r="C28" s="49" t="s">
        <v>80</v>
      </c>
      <c r="D28" s="50">
        <v>2657940</v>
      </c>
      <c r="E28" s="23">
        <f t="shared" si="0"/>
        <v>158129.12106722489</v>
      </c>
      <c r="F28" s="33">
        <f t="shared" si="1"/>
        <v>5.9493111607946333E-2</v>
      </c>
      <c r="G28" s="24" t="s">
        <v>33</v>
      </c>
      <c r="H28" s="26"/>
      <c r="I28" s="48" t="s">
        <v>79</v>
      </c>
      <c r="J28" s="50">
        <v>2657940</v>
      </c>
      <c r="K28" s="37">
        <v>1971050</v>
      </c>
    </row>
    <row r="29" spans="1:11">
      <c r="A29" s="11">
        <v>24</v>
      </c>
      <c r="B29" s="48" t="s">
        <v>115</v>
      </c>
      <c r="C29" s="49" t="s">
        <v>116</v>
      </c>
      <c r="D29" s="50">
        <v>2463320</v>
      </c>
      <c r="E29" s="23">
        <f t="shared" si="0"/>
        <v>146550.57168608639</v>
      </c>
      <c r="F29" s="33">
        <f t="shared" si="1"/>
        <v>5.9493111607946347E-2</v>
      </c>
      <c r="G29" s="24" t="s">
        <v>33</v>
      </c>
      <c r="H29" s="26"/>
      <c r="I29" s="48" t="s">
        <v>115</v>
      </c>
      <c r="J29" s="50">
        <v>2463320</v>
      </c>
      <c r="K29" s="37">
        <v>1934520</v>
      </c>
    </row>
    <row r="30" spans="1:11">
      <c r="A30" s="11">
        <v>25</v>
      </c>
      <c r="B30" s="48" t="s">
        <v>117</v>
      </c>
      <c r="C30" s="49" t="s">
        <v>118</v>
      </c>
      <c r="D30" s="50">
        <v>2269180</v>
      </c>
      <c r="E30" s="23">
        <f t="shared" si="0"/>
        <v>135000.57899851969</v>
      </c>
      <c r="F30" s="33">
        <f t="shared" si="1"/>
        <v>5.9493111607946347E-2</v>
      </c>
      <c r="G30" s="24"/>
      <c r="H30" s="26"/>
      <c r="I30" s="48" t="s">
        <v>117</v>
      </c>
      <c r="J30" s="50">
        <v>2269180</v>
      </c>
      <c r="K30" s="37">
        <v>1826130</v>
      </c>
    </row>
    <row r="31" spans="1:11">
      <c r="A31" s="11">
        <v>26</v>
      </c>
      <c r="B31" s="48" t="s">
        <v>106</v>
      </c>
      <c r="C31" s="49" t="s">
        <v>101</v>
      </c>
      <c r="D31" s="50">
        <v>2268930</v>
      </c>
      <c r="E31" s="23">
        <f t="shared" si="0"/>
        <v>134985.7057206177</v>
      </c>
      <c r="F31" s="33">
        <f t="shared" si="1"/>
        <v>5.949311160794634E-2</v>
      </c>
      <c r="G31" s="24"/>
      <c r="H31" s="26"/>
      <c r="I31" s="48" t="s">
        <v>106</v>
      </c>
      <c r="J31" s="50">
        <v>2268930</v>
      </c>
      <c r="K31" s="37">
        <v>1646330</v>
      </c>
    </row>
    <row r="32" spans="1:11">
      <c r="A32" s="11">
        <v>27</v>
      </c>
      <c r="B32" s="48" t="s">
        <v>77</v>
      </c>
      <c r="C32" s="49" t="s">
        <v>78</v>
      </c>
      <c r="D32" s="50">
        <v>2180900</v>
      </c>
      <c r="E32" s="23">
        <f t="shared" si="0"/>
        <v>129748.52710577018</v>
      </c>
      <c r="F32" s="33">
        <f t="shared" si="1"/>
        <v>5.949311160794634E-2</v>
      </c>
      <c r="G32" s="24" t="s">
        <v>34</v>
      </c>
      <c r="H32" s="26"/>
      <c r="I32" s="48" t="s">
        <v>77</v>
      </c>
      <c r="J32" s="50">
        <v>2180900</v>
      </c>
      <c r="K32" s="37">
        <v>1550450</v>
      </c>
    </row>
    <row r="33" spans="1:11">
      <c r="A33" s="11">
        <v>28</v>
      </c>
      <c r="B33" s="48" t="s">
        <v>61</v>
      </c>
      <c r="C33" s="49" t="s">
        <v>62</v>
      </c>
      <c r="D33" s="50">
        <v>2113400</v>
      </c>
      <c r="E33" s="23">
        <f t="shared" si="0"/>
        <v>125732.7420722338</v>
      </c>
      <c r="F33" s="33">
        <f t="shared" si="1"/>
        <v>5.949311160794634E-2</v>
      </c>
      <c r="G33" s="24"/>
      <c r="H33" s="26"/>
      <c r="I33" s="48" t="s">
        <v>61</v>
      </c>
      <c r="J33" s="50">
        <v>2113400</v>
      </c>
      <c r="K33" s="37">
        <v>1548990</v>
      </c>
    </row>
    <row r="34" spans="1:11">
      <c r="A34" s="11">
        <v>29</v>
      </c>
      <c r="B34" s="48" t="s">
        <v>83</v>
      </c>
      <c r="C34" s="49" t="s">
        <v>84</v>
      </c>
      <c r="D34" s="50">
        <v>2111170</v>
      </c>
      <c r="E34" s="23">
        <f t="shared" si="0"/>
        <v>125600.07243334809</v>
      </c>
      <c r="F34" s="33">
        <f t="shared" si="1"/>
        <v>5.9493111607946347E-2</v>
      </c>
      <c r="G34" s="24"/>
      <c r="H34" s="26"/>
      <c r="I34" s="48" t="s">
        <v>83</v>
      </c>
      <c r="J34" s="50">
        <v>2111170</v>
      </c>
      <c r="K34" s="37">
        <v>1479070</v>
      </c>
    </row>
    <row r="35" spans="1:11">
      <c r="A35" s="11">
        <v>30</v>
      </c>
      <c r="B35" s="48" t="s">
        <v>59</v>
      </c>
      <c r="C35" s="49" t="s">
        <v>60</v>
      </c>
      <c r="D35" s="50">
        <v>2089690</v>
      </c>
      <c r="E35" s="23">
        <f t="shared" si="0"/>
        <v>124322.16039600941</v>
      </c>
      <c r="F35" s="33">
        <f t="shared" si="1"/>
        <v>5.9493111607946347E-2</v>
      </c>
      <c r="G35" s="24" t="s">
        <v>33</v>
      </c>
      <c r="H35" s="26"/>
      <c r="I35" s="48" t="s">
        <v>59</v>
      </c>
      <c r="J35" s="50">
        <v>2089690</v>
      </c>
      <c r="K35" s="37">
        <v>1468100</v>
      </c>
    </row>
    <row r="36" spans="1:11">
      <c r="A36" s="11">
        <v>31</v>
      </c>
      <c r="B36" s="48" t="s">
        <v>95</v>
      </c>
      <c r="C36" s="49" t="s">
        <v>96</v>
      </c>
      <c r="D36" s="50">
        <v>2087920</v>
      </c>
      <c r="E36" s="23">
        <f t="shared" si="0"/>
        <v>124216.85758846332</v>
      </c>
      <c r="F36" s="33">
        <f t="shared" si="1"/>
        <v>5.949311160794634E-2</v>
      </c>
      <c r="G36" s="24"/>
      <c r="H36" s="26"/>
      <c r="I36" s="48" t="s">
        <v>95</v>
      </c>
      <c r="J36" s="50">
        <v>2087920</v>
      </c>
      <c r="K36" s="37">
        <v>1360640</v>
      </c>
    </row>
    <row r="37" spans="1:11">
      <c r="A37" s="11">
        <v>32</v>
      </c>
      <c r="B37" s="48" t="s">
        <v>143</v>
      </c>
      <c r="C37" s="49" t="s">
        <v>144</v>
      </c>
      <c r="D37" s="50">
        <v>1993130</v>
      </c>
      <c r="E37" s="23">
        <f t="shared" si="0"/>
        <v>118577.50553914609</v>
      </c>
      <c r="F37" s="33">
        <f t="shared" si="1"/>
        <v>5.949311160794634E-2</v>
      </c>
      <c r="G37" s="24" t="s">
        <v>34</v>
      </c>
      <c r="H37" s="26"/>
      <c r="I37" s="48" t="s">
        <v>143</v>
      </c>
      <c r="J37" s="50">
        <v>1993130</v>
      </c>
      <c r="K37" s="37">
        <v>1333990</v>
      </c>
    </row>
    <row r="38" spans="1:11">
      <c r="A38" s="11">
        <v>33</v>
      </c>
      <c r="B38" s="48" t="s">
        <v>129</v>
      </c>
      <c r="C38" s="49" t="s">
        <v>130</v>
      </c>
      <c r="D38" s="50">
        <v>1962010</v>
      </c>
      <c r="E38" s="23">
        <f t="shared" ref="E38:E69" si="2">(D38/$D$61*100)%*$D$3</f>
        <v>116726.07990590681</v>
      </c>
      <c r="F38" s="33">
        <f t="shared" si="1"/>
        <v>5.9493111607946347E-2</v>
      </c>
      <c r="G38" s="24"/>
      <c r="H38" s="26"/>
      <c r="I38" s="48" t="s">
        <v>129</v>
      </c>
      <c r="J38" s="50">
        <v>1962010</v>
      </c>
      <c r="K38" s="37">
        <v>1332390</v>
      </c>
    </row>
    <row r="39" spans="1:11">
      <c r="A39" s="11">
        <v>34</v>
      </c>
      <c r="B39" s="48" t="s">
        <v>109</v>
      </c>
      <c r="C39" s="49" t="s">
        <v>110</v>
      </c>
      <c r="D39" s="50">
        <v>1937690</v>
      </c>
      <c r="E39" s="23">
        <f t="shared" si="2"/>
        <v>115279.20743160154</v>
      </c>
      <c r="F39" s="33">
        <f t="shared" si="1"/>
        <v>5.9493111607946333E-2</v>
      </c>
      <c r="G39" s="24"/>
      <c r="H39" s="26"/>
      <c r="I39" s="48" t="s">
        <v>109</v>
      </c>
      <c r="J39" s="50">
        <v>1937690</v>
      </c>
      <c r="K39" s="37">
        <v>1302720</v>
      </c>
    </row>
    <row r="40" spans="1:11">
      <c r="A40" s="11">
        <v>35</v>
      </c>
      <c r="B40" s="48" t="s">
        <v>81</v>
      </c>
      <c r="C40" s="49" t="s">
        <v>82</v>
      </c>
      <c r="D40" s="50">
        <v>1928900</v>
      </c>
      <c r="E40" s="23">
        <f t="shared" si="2"/>
        <v>114756.26298056773</v>
      </c>
      <c r="F40" s="33">
        <f t="shared" si="1"/>
        <v>5.9493111607946354E-2</v>
      </c>
      <c r="G40" s="24"/>
      <c r="H40" s="26"/>
      <c r="I40" s="48" t="s">
        <v>81</v>
      </c>
      <c r="J40" s="50">
        <v>1928900</v>
      </c>
      <c r="K40" s="37">
        <v>1301420</v>
      </c>
    </row>
    <row r="41" spans="1:11">
      <c r="A41" s="11">
        <v>36</v>
      </c>
      <c r="B41" s="48" t="s">
        <v>127</v>
      </c>
      <c r="C41" s="49" t="s">
        <v>128</v>
      </c>
      <c r="D41" s="50">
        <v>1845090</v>
      </c>
      <c r="E41" s="23">
        <f t="shared" si="2"/>
        <v>109770.14529670573</v>
      </c>
      <c r="F41" s="33">
        <f t="shared" si="1"/>
        <v>5.9493111607946347E-2</v>
      </c>
      <c r="G41" s="24"/>
      <c r="H41" s="26"/>
      <c r="I41" s="48" t="s">
        <v>127</v>
      </c>
      <c r="J41" s="50">
        <v>1845090</v>
      </c>
      <c r="K41" s="37">
        <v>1265850</v>
      </c>
    </row>
    <row r="42" spans="1:11">
      <c r="A42" s="11">
        <v>37</v>
      </c>
      <c r="B42" s="48" t="s">
        <v>87</v>
      </c>
      <c r="C42" s="49" t="s">
        <v>88</v>
      </c>
      <c r="D42" s="50">
        <v>1625480</v>
      </c>
      <c r="E42" s="23">
        <f t="shared" si="2"/>
        <v>96704.86305648461</v>
      </c>
      <c r="F42" s="33">
        <f t="shared" si="1"/>
        <v>5.9493111607946333E-2</v>
      </c>
      <c r="G42" s="24" t="s">
        <v>31</v>
      </c>
      <c r="H42" s="26"/>
      <c r="I42" s="48" t="s">
        <v>87</v>
      </c>
      <c r="J42" s="50">
        <v>1625480</v>
      </c>
      <c r="K42" s="37">
        <v>1191570</v>
      </c>
    </row>
    <row r="43" spans="1:11">
      <c r="A43" s="11">
        <v>38</v>
      </c>
      <c r="B43" s="48" t="s">
        <v>113</v>
      </c>
      <c r="C43" s="49" t="s">
        <v>114</v>
      </c>
      <c r="D43" s="50">
        <v>1617520</v>
      </c>
      <c r="E43" s="23">
        <f t="shared" si="2"/>
        <v>96231.297888085377</v>
      </c>
      <c r="F43" s="33">
        <f t="shared" si="1"/>
        <v>5.9493111607946347E-2</v>
      </c>
      <c r="G43" s="24" t="s">
        <v>33</v>
      </c>
      <c r="H43" s="26"/>
      <c r="I43" s="48" t="s">
        <v>113</v>
      </c>
      <c r="J43" s="50">
        <v>1617520</v>
      </c>
      <c r="K43" s="37">
        <v>1163480</v>
      </c>
    </row>
    <row r="44" spans="1:11">
      <c r="A44" s="11">
        <v>39</v>
      </c>
      <c r="B44" s="48" t="s">
        <v>102</v>
      </c>
      <c r="C44" s="49" t="s">
        <v>103</v>
      </c>
      <c r="D44" s="50">
        <v>1410770</v>
      </c>
      <c r="E44" s="23">
        <f t="shared" si="2"/>
        <v>83931.097063142472</v>
      </c>
      <c r="F44" s="33">
        <f t="shared" si="1"/>
        <v>5.9493111607946347E-2</v>
      </c>
      <c r="G44" s="24"/>
      <c r="H44" s="26"/>
      <c r="I44" s="48" t="s">
        <v>102</v>
      </c>
      <c r="J44" s="50">
        <v>1410770</v>
      </c>
      <c r="K44" s="37">
        <v>1162730</v>
      </c>
    </row>
    <row r="45" spans="1:11">
      <c r="A45" s="11">
        <v>40</v>
      </c>
      <c r="B45" s="48" t="s">
        <v>89</v>
      </c>
      <c r="C45" s="49" t="s">
        <v>90</v>
      </c>
      <c r="D45" s="50">
        <v>1332460</v>
      </c>
      <c r="E45" s="23">
        <f t="shared" si="2"/>
        <v>79272.191493124192</v>
      </c>
      <c r="F45" s="33">
        <f t="shared" si="1"/>
        <v>5.9493111607946347E-2</v>
      </c>
      <c r="G45" s="24"/>
      <c r="H45" s="26"/>
      <c r="I45" s="48" t="s">
        <v>89</v>
      </c>
      <c r="J45" s="50">
        <v>1332460</v>
      </c>
      <c r="K45" s="37">
        <v>1135290</v>
      </c>
    </row>
    <row r="46" spans="1:11">
      <c r="A46" s="11">
        <v>41</v>
      </c>
      <c r="B46" s="48" t="s">
        <v>71</v>
      </c>
      <c r="C46" s="49" t="s">
        <v>72</v>
      </c>
      <c r="D46" s="50">
        <v>1280510</v>
      </c>
      <c r="E46" s="23">
        <f t="shared" si="2"/>
        <v>76181.524345091369</v>
      </c>
      <c r="F46" s="33">
        <f t="shared" si="1"/>
        <v>5.949311160794634E-2</v>
      </c>
      <c r="G46" s="24"/>
      <c r="H46" s="26"/>
      <c r="I46" s="48" t="s">
        <v>71</v>
      </c>
      <c r="J46" s="50">
        <v>1280510</v>
      </c>
      <c r="K46" s="37">
        <v>985800</v>
      </c>
    </row>
    <row r="47" spans="1:11">
      <c r="A47" s="11">
        <v>42</v>
      </c>
      <c r="B47" s="48" t="s">
        <v>131</v>
      </c>
      <c r="C47" s="49" t="s">
        <v>132</v>
      </c>
      <c r="D47" s="50">
        <v>1246150</v>
      </c>
      <c r="E47" s="23">
        <f t="shared" si="2"/>
        <v>74137.341030242344</v>
      </c>
      <c r="F47" s="33">
        <f t="shared" si="1"/>
        <v>5.9493111607946347E-2</v>
      </c>
      <c r="G47" s="24"/>
      <c r="H47" s="26"/>
      <c r="I47" s="48" t="s">
        <v>131</v>
      </c>
      <c r="J47" s="50">
        <v>1246150</v>
      </c>
      <c r="K47" s="37">
        <v>937210</v>
      </c>
    </row>
    <row r="48" spans="1:11">
      <c r="A48" s="11">
        <v>43</v>
      </c>
      <c r="B48" s="48" t="s">
        <v>75</v>
      </c>
      <c r="C48" s="49" t="s">
        <v>76</v>
      </c>
      <c r="D48" s="50">
        <v>1235100</v>
      </c>
      <c r="E48" s="23">
        <f t="shared" si="2"/>
        <v>73479.942146974528</v>
      </c>
      <c r="F48" s="33">
        <f t="shared" si="1"/>
        <v>5.949311160794634E-2</v>
      </c>
      <c r="G48" s="24"/>
      <c r="H48" s="26"/>
      <c r="I48" s="48" t="s">
        <v>75</v>
      </c>
      <c r="J48" s="50">
        <v>1235100</v>
      </c>
      <c r="K48" s="37">
        <v>906360</v>
      </c>
    </row>
    <row r="49" spans="1:11">
      <c r="A49" s="11">
        <v>44</v>
      </c>
      <c r="B49" s="48" t="s">
        <v>91</v>
      </c>
      <c r="C49" s="49" t="s">
        <v>92</v>
      </c>
      <c r="D49" s="50">
        <v>1221430</v>
      </c>
      <c r="E49" s="23">
        <f t="shared" si="2"/>
        <v>72666.671311293903</v>
      </c>
      <c r="F49" s="33">
        <f t="shared" si="1"/>
        <v>5.9493111607946347E-2</v>
      </c>
      <c r="G49" s="24"/>
      <c r="H49" s="26"/>
      <c r="I49" s="48" t="s">
        <v>91</v>
      </c>
      <c r="J49" s="50">
        <v>1221430</v>
      </c>
      <c r="K49" s="37">
        <v>784850</v>
      </c>
    </row>
    <row r="50" spans="1:11">
      <c r="A50" s="11">
        <v>45</v>
      </c>
      <c r="B50" s="48" t="s">
        <v>104</v>
      </c>
      <c r="C50" s="49" t="s">
        <v>105</v>
      </c>
      <c r="D50" s="50">
        <v>1157100</v>
      </c>
      <c r="E50" s="23">
        <f t="shared" si="2"/>
        <v>68839.479441554722</v>
      </c>
      <c r="F50" s="33">
        <f t="shared" si="1"/>
        <v>5.9493111607946347E-2</v>
      </c>
      <c r="G50" s="24"/>
      <c r="H50" s="26"/>
      <c r="I50" s="48" t="s">
        <v>104</v>
      </c>
      <c r="J50" s="50">
        <v>1157100</v>
      </c>
      <c r="K50" s="37">
        <v>632010</v>
      </c>
    </row>
    <row r="51" spans="1:11">
      <c r="A51" s="11">
        <v>46</v>
      </c>
      <c r="B51" s="48" t="s">
        <v>141</v>
      </c>
      <c r="C51" s="49" t="s">
        <v>142</v>
      </c>
      <c r="D51" s="50">
        <v>585860</v>
      </c>
      <c r="E51" s="23">
        <f t="shared" si="2"/>
        <v>34854.634366631442</v>
      </c>
      <c r="F51" s="33">
        <f t="shared" si="1"/>
        <v>5.949311160794634E-2</v>
      </c>
      <c r="G51" s="24"/>
      <c r="H51" s="26"/>
      <c r="I51" s="48" t="s">
        <v>141</v>
      </c>
      <c r="J51" s="50">
        <v>585860</v>
      </c>
      <c r="K51" s="37">
        <v>509920</v>
      </c>
    </row>
    <row r="52" spans="1:11">
      <c r="A52" s="11">
        <v>47</v>
      </c>
      <c r="B52" s="48" t="s">
        <v>99</v>
      </c>
      <c r="C52" s="49" t="s">
        <v>100</v>
      </c>
      <c r="D52" s="50">
        <v>482500</v>
      </c>
      <c r="E52" s="23">
        <f t="shared" si="2"/>
        <v>28705.42635083411</v>
      </c>
      <c r="F52" s="33">
        <f t="shared" si="1"/>
        <v>5.949311160794634E-2</v>
      </c>
      <c r="G52" s="24"/>
      <c r="H52" s="26"/>
      <c r="I52" s="48" t="s">
        <v>99</v>
      </c>
      <c r="J52" s="50">
        <v>482500</v>
      </c>
      <c r="K52" s="37">
        <v>443500</v>
      </c>
    </row>
    <row r="53" spans="1:11">
      <c r="A53" s="11">
        <v>48</v>
      </c>
      <c r="B53" s="48" t="s">
        <v>123</v>
      </c>
      <c r="C53" s="49" t="s">
        <v>124</v>
      </c>
      <c r="D53" s="50">
        <v>244480</v>
      </c>
      <c r="E53" s="23">
        <f t="shared" si="2"/>
        <v>14544.875925910721</v>
      </c>
      <c r="F53" s="33">
        <f t="shared" si="1"/>
        <v>5.949311160794634E-2</v>
      </c>
      <c r="G53" s="24"/>
      <c r="H53" s="26"/>
      <c r="I53" s="48" t="s">
        <v>123</v>
      </c>
      <c r="J53" s="50">
        <v>244480</v>
      </c>
      <c r="K53" s="37">
        <v>312430</v>
      </c>
    </row>
    <row r="54" spans="1:11">
      <c r="A54" s="11">
        <v>50</v>
      </c>
      <c r="B54" s="48" t="s">
        <v>121</v>
      </c>
      <c r="C54" s="49" t="s">
        <v>122</v>
      </c>
      <c r="D54" s="50">
        <v>210120</v>
      </c>
      <c r="E54" s="23">
        <f t="shared" si="2"/>
        <v>12500.692611061686</v>
      </c>
      <c r="F54" s="33">
        <f t="shared" si="1"/>
        <v>5.9493111607946347E-2</v>
      </c>
      <c r="G54" s="24"/>
      <c r="H54" s="26"/>
      <c r="I54" s="48" t="s">
        <v>121</v>
      </c>
      <c r="J54" s="50">
        <v>210120</v>
      </c>
      <c r="K54" s="37">
        <v>150640</v>
      </c>
    </row>
    <row r="55" spans="1:11">
      <c r="A55" s="11">
        <v>51</v>
      </c>
      <c r="B55" s="48" t="s">
        <v>97</v>
      </c>
      <c r="C55" s="49" t="s">
        <v>98</v>
      </c>
      <c r="D55" s="50">
        <v>158650</v>
      </c>
      <c r="E55" s="23">
        <f t="shared" si="2"/>
        <v>9438.5821566006871</v>
      </c>
      <c r="F55" s="33">
        <f t="shared" si="1"/>
        <v>5.949311160794634E-2</v>
      </c>
      <c r="G55" s="24"/>
      <c r="H55" s="26"/>
      <c r="I55" s="48" t="s">
        <v>97</v>
      </c>
      <c r="J55" s="50">
        <v>158650</v>
      </c>
      <c r="K55" s="37">
        <v>135480</v>
      </c>
    </row>
    <row r="56" spans="1:11">
      <c r="A56" s="11">
        <v>52</v>
      </c>
      <c r="B56" s="48" t="s">
        <v>133</v>
      </c>
      <c r="C56" s="49" t="s">
        <v>134</v>
      </c>
      <c r="D56" s="50">
        <v>151020</v>
      </c>
      <c r="E56" s="23">
        <f t="shared" si="2"/>
        <v>8984.6497150320574</v>
      </c>
      <c r="F56" s="33">
        <f t="shared" si="1"/>
        <v>5.9493111607946347E-2</v>
      </c>
      <c r="G56" s="24"/>
      <c r="H56" s="26"/>
      <c r="I56" s="48" t="s">
        <v>133</v>
      </c>
      <c r="J56" s="50">
        <v>151020</v>
      </c>
      <c r="K56" s="37">
        <v>101200</v>
      </c>
    </row>
    <row r="57" spans="1:11">
      <c r="A57" s="11">
        <v>53</v>
      </c>
      <c r="B57" s="48" t="s">
        <v>93</v>
      </c>
      <c r="C57" s="49" t="s">
        <v>94</v>
      </c>
      <c r="D57" s="50">
        <v>66000</v>
      </c>
      <c r="E57" s="23">
        <f t="shared" si="2"/>
        <v>3926.5453661244587</v>
      </c>
      <c r="F57" s="33">
        <f t="shared" si="1"/>
        <v>5.9493111607946347E-2</v>
      </c>
      <c r="G57" s="24"/>
      <c r="H57" s="26"/>
      <c r="I57" s="48" t="s">
        <v>93</v>
      </c>
      <c r="J57" s="50">
        <v>66000</v>
      </c>
      <c r="K57" s="37">
        <v>76010</v>
      </c>
    </row>
    <row r="58" spans="1:11">
      <c r="A58" s="11">
        <v>54</v>
      </c>
      <c r="B58" s="48" t="s">
        <v>137</v>
      </c>
      <c r="C58" s="49" t="s">
        <v>138</v>
      </c>
      <c r="D58" s="50">
        <v>48600</v>
      </c>
      <c r="E58" s="23">
        <f t="shared" si="2"/>
        <v>2891.3652241461923</v>
      </c>
      <c r="F58" s="33">
        <f t="shared" si="1"/>
        <v>5.949311160794634E-2</v>
      </c>
      <c r="G58" s="24"/>
      <c r="H58" s="26"/>
      <c r="I58" s="48" t="s">
        <v>137</v>
      </c>
      <c r="J58" s="50">
        <v>48600</v>
      </c>
      <c r="K58" s="37">
        <v>55730</v>
      </c>
    </row>
    <row r="59" spans="1:11">
      <c r="A59" s="11">
        <v>55</v>
      </c>
      <c r="B59" s="48" t="s">
        <v>135</v>
      </c>
      <c r="C59" s="49" t="s">
        <v>136</v>
      </c>
      <c r="D59" s="50">
        <v>37880</v>
      </c>
      <c r="E59" s="23">
        <f t="shared" si="2"/>
        <v>2253.5990677090076</v>
      </c>
      <c r="F59" s="33">
        <f t="shared" ref="F59:F60" si="3">E59/D59</f>
        <v>5.9493111607946347E-2</v>
      </c>
      <c r="G59" s="24"/>
      <c r="H59" s="26"/>
      <c r="I59" s="48" t="s">
        <v>135</v>
      </c>
      <c r="J59" s="50">
        <v>37880</v>
      </c>
      <c r="K59" s="37"/>
    </row>
    <row r="60" spans="1:11">
      <c r="A60" s="11">
        <v>56</v>
      </c>
      <c r="B60" s="48" t="s">
        <v>125</v>
      </c>
      <c r="C60" s="49" t="s">
        <v>126</v>
      </c>
      <c r="D60" s="50">
        <v>19600</v>
      </c>
      <c r="E60" s="23">
        <f t="shared" si="2"/>
        <v>1166.0649875157483</v>
      </c>
      <c r="F60" s="33">
        <f t="shared" si="3"/>
        <v>5.949311160794634E-2</v>
      </c>
      <c r="G60" s="24"/>
      <c r="H60" s="26"/>
      <c r="I60" s="48" t="s">
        <v>125</v>
      </c>
      <c r="J60" s="50">
        <v>19600</v>
      </c>
      <c r="K60" s="37"/>
    </row>
    <row r="61" spans="1:11">
      <c r="A61" s="30"/>
      <c r="B61" s="51" t="s">
        <v>36</v>
      </c>
      <c r="C61" s="52"/>
      <c r="D61" s="34">
        <f>SUM(D6:D60)</f>
        <v>171740370</v>
      </c>
      <c r="E61" s="23">
        <f>SUM(E6:E60)</f>
        <v>10217368.999999998</v>
      </c>
      <c r="F61" s="33">
        <f>E61/D61</f>
        <v>5.9493111607946333E-2</v>
      </c>
      <c r="G61" s="24"/>
      <c r="H61" s="26"/>
      <c r="I61" s="28"/>
      <c r="J61" s="29"/>
    </row>
    <row r="62" spans="1:11">
      <c r="G62" s="16"/>
      <c r="H62" s="15"/>
      <c r="I62" s="17"/>
      <c r="J62" s="18"/>
    </row>
    <row r="63" spans="1:11">
      <c r="H63" s="15"/>
      <c r="I63" s="19"/>
      <c r="J63" s="18"/>
    </row>
    <row r="65" spans="5:14" s="38" customFormat="1">
      <c r="F65" s="31"/>
      <c r="G65" s="35"/>
      <c r="H65" s="21"/>
      <c r="K65" s="35"/>
      <c r="L65" s="35"/>
      <c r="M65" s="35"/>
      <c r="N65" s="35"/>
    </row>
    <row r="66" spans="5:14" s="38" customFormat="1">
      <c r="E66" s="22"/>
      <c r="F66" s="31"/>
      <c r="G66" s="35"/>
      <c r="H66" s="35"/>
      <c r="K66" s="35"/>
      <c r="L66" s="35"/>
      <c r="M66" s="35"/>
      <c r="N66" s="35"/>
    </row>
  </sheetData>
  <autoFilter ref="B5:F5"/>
  <mergeCells count="8">
    <mergeCell ref="B61:C61"/>
    <mergeCell ref="P7:W7"/>
    <mergeCell ref="P6:W6"/>
    <mergeCell ref="P5:W5"/>
    <mergeCell ref="D2:F2"/>
    <mergeCell ref="I2:J2"/>
    <mergeCell ref="D3:F3"/>
    <mergeCell ref="I4:J4"/>
  </mergeCells>
  <phoneticPr fontId="3" type="noConversion"/>
  <dataValidations count="2">
    <dataValidation type="list" allowBlank="1" showInputMessage="1" showErrorMessage="1" sqref="B2">
      <formula1>$K$3:$K$36</formula1>
    </dataValidation>
    <dataValidation type="list" allowBlank="1" showInputMessage="1" showErrorMessage="1" sqref="B3">
      <formula1>$L$3:$L$42</formula1>
    </dataValidation>
  </dataValidations>
  <pageMargins left="0.7" right="0.7" top="0.75" bottom="0.75" header="0.3" footer="0.3"/>
  <pageSetup paperSize="9" scale="9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강남점 2월</vt:lpstr>
      <vt:lpstr>'강남점 2월'!Print_Area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hottracks</dc:creator>
  <cp:lastModifiedBy>user</cp:lastModifiedBy>
  <dcterms:created xsi:type="dcterms:W3CDTF">2023-12-05T07:05:44Z</dcterms:created>
  <dcterms:modified xsi:type="dcterms:W3CDTF">2026-03-06T01:29:03Z</dcterms:modified>
</cp:coreProperties>
</file>