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조준수\프로젝트\3. 상품체계통합(New)\본개발\공용알바\점포자료\"/>
    </mc:Choice>
  </mc:AlternateContent>
  <xr:revisionPtr revIDLastSave="0" documentId="8_{244CB816-001C-4D07-9170-75E886EDE378}" xr6:coauthVersionLast="47" xr6:coauthVersionMax="47" xr10:uidLastSave="{00000000-0000-0000-0000-000000000000}"/>
  <bookViews>
    <workbookView xWindow="-120" yWindow="-120" windowWidth="29040" windowHeight="15840" xr2:uid="{12DA9598-8349-4F73-A59F-0A437B57B62E}"/>
  </bookViews>
  <sheets>
    <sheet name="도급알바정산양식" sheetId="1" r:id="rId1"/>
  </sheets>
  <definedNames>
    <definedName name="_xlnm.Print_Area" localSheetId="0">도급알바정산양식!$A$2:$N$35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4" i="1" l="1"/>
  <c r="I34" i="1" s="1"/>
  <c r="K34" i="1" s="1"/>
  <c r="D34" i="1"/>
  <c r="E28" i="1" s="1"/>
  <c r="G28" i="1" s="1"/>
  <c r="I33" i="1"/>
  <c r="I32" i="1"/>
  <c r="I31" i="1"/>
  <c r="E31" i="1"/>
  <c r="G31" i="1" s="1"/>
  <c r="I30" i="1"/>
  <c r="I29" i="1"/>
  <c r="I28" i="1"/>
  <c r="I27" i="1"/>
  <c r="E27" i="1"/>
  <c r="G27" i="1" s="1"/>
  <c r="I26" i="1"/>
  <c r="E26" i="1"/>
  <c r="G26" i="1" s="1"/>
  <c r="I25" i="1"/>
  <c r="I24" i="1"/>
  <c r="I23" i="1"/>
  <c r="E23" i="1"/>
  <c r="G23" i="1" s="1"/>
  <c r="I22" i="1"/>
  <c r="E22" i="1"/>
  <c r="G22" i="1" s="1"/>
  <c r="I21" i="1"/>
  <c r="I20" i="1"/>
  <c r="I19" i="1"/>
  <c r="E19" i="1"/>
  <c r="G19" i="1" s="1"/>
  <c r="I18" i="1"/>
  <c r="E18" i="1"/>
  <c r="G18" i="1" s="1"/>
  <c r="I17" i="1"/>
  <c r="I16" i="1"/>
  <c r="N15" i="1"/>
  <c r="I15" i="1"/>
  <c r="N14" i="1"/>
  <c r="I14" i="1"/>
  <c r="I13" i="1"/>
  <c r="E13" i="1"/>
  <c r="G13" i="1" s="1"/>
  <c r="I12" i="1"/>
  <c r="E12" i="1"/>
  <c r="G12" i="1" s="1"/>
  <c r="I11" i="1"/>
  <c r="I10" i="1"/>
  <c r="I9" i="1"/>
  <c r="E9" i="1"/>
  <c r="G9" i="1" s="1"/>
  <c r="I8" i="1"/>
  <c r="E8" i="1"/>
  <c r="G8" i="1" s="1"/>
  <c r="I7" i="1"/>
  <c r="F7" i="1"/>
  <c r="F34" i="1" s="1"/>
  <c r="E7" i="1"/>
  <c r="G7" i="1" s="1"/>
  <c r="E11" i="1" l="1"/>
  <c r="G11" i="1" s="1"/>
  <c r="E17" i="1"/>
  <c r="G17" i="1" s="1"/>
  <c r="E21" i="1"/>
  <c r="G21" i="1" s="1"/>
  <c r="E25" i="1"/>
  <c r="G25" i="1" s="1"/>
  <c r="E29" i="1"/>
  <c r="G29" i="1" s="1"/>
  <c r="E30" i="1"/>
  <c r="G30" i="1" s="1"/>
  <c r="E10" i="1"/>
  <c r="G10" i="1" s="1"/>
  <c r="G34" i="1" s="1"/>
  <c r="E14" i="1"/>
  <c r="G14" i="1" s="1"/>
  <c r="E15" i="1"/>
  <c r="G15" i="1" s="1"/>
  <c r="E16" i="1"/>
  <c r="G16" i="1" s="1"/>
  <c r="E20" i="1"/>
  <c r="G20" i="1" s="1"/>
  <c r="E24" i="1"/>
  <c r="G24" i="1" s="1"/>
  <c r="E34" i="1" l="1"/>
</calcChain>
</file>

<file path=xl/sharedStrings.xml><?xml version="1.0" encoding="utf-8"?>
<sst xmlns="http://schemas.openxmlformats.org/spreadsheetml/2006/main" count="76" uniqueCount="74">
  <si>
    <t>결재</t>
    <phoneticPr fontId="7" type="noConversion"/>
  </si>
  <si>
    <t>담당</t>
    <phoneticPr fontId="7" type="noConversion"/>
  </si>
  <si>
    <t>부점장</t>
    <phoneticPr fontId="7" type="noConversion"/>
  </si>
  <si>
    <t>점장</t>
    <phoneticPr fontId="7" type="noConversion"/>
  </si>
  <si>
    <t>26년 2월</t>
    <phoneticPr fontId="7" type="noConversion"/>
  </si>
  <si>
    <t>권수현</t>
    <phoneticPr fontId="7" type="noConversion"/>
  </si>
  <si>
    <t>코드</t>
    <phoneticPr fontId="7" type="noConversion"/>
  </si>
  <si>
    <t>업체명</t>
    <phoneticPr fontId="7" type="noConversion"/>
  </si>
  <si>
    <t>업체 매출</t>
    <phoneticPr fontId="7" type="noConversion"/>
  </si>
  <si>
    <t>매출점유율</t>
    <phoneticPr fontId="7" type="noConversion"/>
  </si>
  <si>
    <t>총알바비</t>
    <phoneticPr fontId="7" type="noConversion"/>
  </si>
  <si>
    <t>알바공제내역</t>
    <phoneticPr fontId="7" type="noConversion"/>
  </si>
  <si>
    <t>알바입금금액</t>
    <phoneticPr fontId="7" type="noConversion"/>
  </si>
  <si>
    <t>점유율</t>
    <phoneticPr fontId="7" type="noConversion"/>
  </si>
  <si>
    <t>0803080</t>
  </si>
  <si>
    <t>위드에버상사</t>
  </si>
  <si>
    <t>0803527</t>
  </si>
  <si>
    <t>프론티어통상</t>
  </si>
  <si>
    <t>0803255</t>
  </si>
  <si>
    <t>모닝글로리</t>
  </si>
  <si>
    <t>0800334</t>
  </si>
  <si>
    <t>아이비스코리아</t>
  </si>
  <si>
    <t>박의옥</t>
    <phoneticPr fontId="15" type="noConversion"/>
  </si>
  <si>
    <t>0803503</t>
  </si>
  <si>
    <t>로마네</t>
  </si>
  <si>
    <t>0803690</t>
  </si>
  <si>
    <t>인디고</t>
  </si>
  <si>
    <t>0816166</t>
  </si>
  <si>
    <t>해밀</t>
  </si>
  <si>
    <t>매출</t>
    <phoneticPr fontId="7" type="noConversion"/>
  </si>
  <si>
    <t>비율</t>
    <phoneticPr fontId="7" type="noConversion"/>
  </si>
  <si>
    <t>금액</t>
    <phoneticPr fontId="7" type="noConversion"/>
  </si>
  <si>
    <t>0807481</t>
  </si>
  <si>
    <t>골드디자인</t>
  </si>
  <si>
    <t>씨케이세일즈</t>
    <phoneticPr fontId="7" type="noConversion"/>
  </si>
  <si>
    <t>0803176</t>
  </si>
  <si>
    <t>라이브워크</t>
  </si>
  <si>
    <t>베르제</t>
    <phoneticPr fontId="7" type="noConversion"/>
  </si>
  <si>
    <t>0803187</t>
  </si>
  <si>
    <t>칠삼이일디자인</t>
  </si>
  <si>
    <t>0806798</t>
  </si>
  <si>
    <t>이가라인유통</t>
  </si>
  <si>
    <t>0817604</t>
  </si>
  <si>
    <t>비온뒤</t>
  </si>
  <si>
    <t>0803186</t>
  </si>
  <si>
    <t>아이코닉디자인</t>
  </si>
  <si>
    <t>0803158</t>
  </si>
  <si>
    <t>바이풀디자인</t>
  </si>
  <si>
    <t>0803303</t>
  </si>
  <si>
    <t>이투컬렉션</t>
  </si>
  <si>
    <t>0817560</t>
  </si>
  <si>
    <t>도나앤데코</t>
  </si>
  <si>
    <t>0818036</t>
  </si>
  <si>
    <t>페펜스튜디오</t>
  </si>
  <si>
    <t>0803222</t>
  </si>
  <si>
    <t>아르디움</t>
  </si>
  <si>
    <t>0806606</t>
  </si>
  <si>
    <t>디자인랩(레더랩)</t>
  </si>
  <si>
    <t>0803825</t>
  </si>
  <si>
    <t>정인통상</t>
  </si>
  <si>
    <t>0807497</t>
  </si>
  <si>
    <t>학산문화사</t>
  </si>
  <si>
    <t>0803289</t>
  </si>
  <si>
    <t>더솜씨</t>
  </si>
  <si>
    <t>0803791</t>
  </si>
  <si>
    <t>그린디자인웍스공장</t>
  </si>
  <si>
    <t>0803229</t>
  </si>
  <si>
    <t>웨이크업(wakup)</t>
  </si>
  <si>
    <t>0803288</t>
  </si>
  <si>
    <t>명성코리아</t>
  </si>
  <si>
    <t>0803144</t>
  </si>
  <si>
    <t>씨케이세일즈</t>
  </si>
  <si>
    <t>0811795</t>
  </si>
  <si>
    <t>베르제마넷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</si>
</sst>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0_);[Red]\(0\)"/>
    <numFmt numFmtId="177" formatCode="#,##0_ "/>
    <numFmt numFmtId="178" formatCode="0.0%"/>
    <numFmt numFmtId="179" formatCode="#,##0_);[Red]\(#,##0\)"/>
  </numFmts>
  <fonts count="19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4"/>
      <name val="돋움"/>
      <family val="3"/>
      <charset val="129"/>
    </font>
    <font>
      <sz val="8"/>
      <name val="돋움"/>
      <family val="3"/>
      <charset val="129"/>
    </font>
    <font>
      <b/>
      <i/>
      <sz val="24"/>
      <name val="돋움"/>
      <family val="3"/>
      <charset val="129"/>
    </font>
    <font>
      <b/>
      <sz val="10"/>
      <name val="돋움"/>
      <family val="3"/>
      <charset val="129"/>
    </font>
    <font>
      <b/>
      <sz val="10"/>
      <color indexed="8"/>
      <name val="돋움"/>
      <family val="3"/>
      <charset val="129"/>
    </font>
    <font>
      <sz val="9"/>
      <color theme="1"/>
      <name val="Tahoma"/>
      <family val="2"/>
    </font>
    <font>
      <sz val="10"/>
      <color indexed="10"/>
      <name val="돋움"/>
      <family val="3"/>
      <charset val="129"/>
    </font>
    <font>
      <sz val="10"/>
      <color indexed="4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color theme="1"/>
      <name val="Gulim"/>
      <family val="3"/>
    </font>
    <font>
      <sz val="11"/>
      <color theme="1"/>
      <name val="맑은 고딕"/>
      <family val="3"/>
      <charset val="129"/>
      <scheme val="minor"/>
    </font>
    <font>
      <sz val="10"/>
      <color theme="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" fillId="0" borderId="0">
      <alignment vertical="center"/>
    </xf>
    <xf numFmtId="0" fontId="1" fillId="0" borderId="0">
      <alignment vertical="center"/>
    </xf>
    <xf numFmtId="0" fontId="17" fillId="0" borderId="0">
      <alignment vertical="center"/>
    </xf>
  </cellStyleXfs>
  <cellXfs count="53">
    <xf numFmtId="0" fontId="0" fillId="0" borderId="0" xfId="0">
      <alignment vertical="center"/>
    </xf>
    <xf numFmtId="176" fontId="4" fillId="0" borderId="0" xfId="2" applyNumberFormat="1" applyFont="1" applyAlignment="1">
      <alignment horizontal="center" vertical="center"/>
    </xf>
    <xf numFmtId="49" fontId="4" fillId="2" borderId="0" xfId="2" applyNumberFormat="1" applyFont="1" applyFill="1" applyAlignment="1">
      <alignment horizontal="center" vertical="center"/>
    </xf>
    <xf numFmtId="41" fontId="4" fillId="0" borderId="0" xfId="1" applyFont="1" applyFill="1" applyBorder="1" applyAlignment="1">
      <alignment horizontal="left" vertical="center"/>
    </xf>
    <xf numFmtId="177" fontId="4" fillId="0" borderId="0" xfId="2" applyNumberFormat="1" applyFont="1" applyAlignment="1">
      <alignment horizontal="center" vertical="center"/>
    </xf>
    <xf numFmtId="41" fontId="4" fillId="0" borderId="0" xfId="1" applyFont="1" applyFill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6" fillId="0" borderId="1" xfId="2" applyFont="1" applyBorder="1" applyAlignment="1">
      <alignment horizontal="center" vertical="center" textRotation="255"/>
    </xf>
    <xf numFmtId="0" fontId="6" fillId="0" borderId="2" xfId="2" applyFont="1" applyBorder="1" applyAlignment="1">
      <alignment horizontal="center" vertical="center"/>
    </xf>
    <xf numFmtId="49" fontId="8" fillId="2" borderId="0" xfId="2" applyNumberFormat="1" applyFont="1" applyFill="1" applyAlignment="1">
      <alignment horizontal="left" vertical="center"/>
    </xf>
    <xf numFmtId="0" fontId="6" fillId="0" borderId="3" xfId="2" applyFont="1" applyBorder="1" applyAlignment="1">
      <alignment horizontal="center" vertical="center" textRotation="255"/>
    </xf>
    <xf numFmtId="41" fontId="4" fillId="0" borderId="0" xfId="1" applyFont="1" applyFill="1" applyBorder="1" applyAlignment="1">
      <alignment horizontal="center" vertical="center"/>
    </xf>
    <xf numFmtId="176" fontId="9" fillId="0" borderId="2" xfId="2" applyNumberFormat="1" applyFont="1" applyBorder="1" applyAlignment="1">
      <alignment horizontal="center" vertical="center"/>
    </xf>
    <xf numFmtId="49" fontId="9" fillId="2" borderId="2" xfId="2" applyNumberFormat="1" applyFont="1" applyFill="1" applyBorder="1" applyAlignment="1">
      <alignment horizontal="center" vertical="center"/>
    </xf>
    <xf numFmtId="0" fontId="10" fillId="0" borderId="2" xfId="2" applyFont="1" applyBorder="1" applyAlignment="1">
      <alignment horizontal="center" vertical="center"/>
    </xf>
    <xf numFmtId="177" fontId="10" fillId="0" borderId="2" xfId="2" applyNumberFormat="1" applyFont="1" applyBorder="1" applyAlignment="1">
      <alignment horizontal="center" vertical="center"/>
    </xf>
    <xf numFmtId="176" fontId="10" fillId="0" borderId="2" xfId="2" applyNumberFormat="1" applyFont="1" applyBorder="1" applyAlignment="1">
      <alignment horizontal="center" vertical="center"/>
    </xf>
    <xf numFmtId="41" fontId="10" fillId="0" borderId="2" xfId="1" applyFont="1" applyFill="1" applyBorder="1" applyAlignment="1">
      <alignment horizontal="center" vertical="center"/>
    </xf>
    <xf numFmtId="0" fontId="9" fillId="0" borderId="2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176" fontId="4" fillId="0" borderId="2" xfId="2" applyNumberFormat="1" applyFont="1" applyBorder="1" applyAlignment="1">
      <alignment horizontal="center" vertical="center"/>
    </xf>
    <xf numFmtId="49" fontId="11" fillId="0" borderId="4" xfId="3" applyNumberFormat="1" applyFont="1" applyBorder="1" applyAlignment="1">
      <alignment horizontal="center" vertical="center" wrapText="1"/>
    </xf>
    <xf numFmtId="49" fontId="11" fillId="0" borderId="4" xfId="3" applyNumberFormat="1" applyFont="1" applyBorder="1" applyAlignment="1">
      <alignment horizontal="left" vertical="center" wrapText="1"/>
    </xf>
    <xf numFmtId="177" fontId="11" fillId="0" borderId="4" xfId="3" applyNumberFormat="1" applyFont="1" applyBorder="1" applyAlignment="1">
      <alignment horizontal="right" vertical="center" wrapText="1"/>
    </xf>
    <xf numFmtId="178" fontId="12" fillId="0" borderId="2" xfId="2" applyNumberFormat="1" applyFont="1" applyBorder="1" applyAlignment="1">
      <alignment horizontal="center" vertical="center"/>
    </xf>
    <xf numFmtId="41" fontId="4" fillId="0" borderId="2" xfId="1" applyFont="1" applyFill="1" applyBorder="1" applyAlignment="1">
      <alignment vertical="center"/>
    </xf>
    <xf numFmtId="177" fontId="13" fillId="0" borderId="2" xfId="2" applyNumberFormat="1" applyFont="1" applyBorder="1" applyAlignment="1">
      <alignment horizontal="center" vertical="center"/>
    </xf>
    <xf numFmtId="178" fontId="4" fillId="3" borderId="2" xfId="2" applyNumberFormat="1" applyFont="1" applyFill="1" applyBorder="1" applyAlignment="1">
      <alignment horizontal="center" vertical="center"/>
    </xf>
    <xf numFmtId="41" fontId="4" fillId="0" borderId="2" xfId="2" applyNumberFormat="1" applyFont="1" applyBorder="1" applyAlignment="1">
      <alignment horizontal="center" vertical="center"/>
    </xf>
    <xf numFmtId="178" fontId="4" fillId="0" borderId="0" xfId="2" applyNumberFormat="1" applyFont="1" applyAlignment="1">
      <alignment horizontal="center" vertical="center"/>
    </xf>
    <xf numFmtId="49" fontId="11" fillId="0" borderId="5" xfId="3" applyNumberFormat="1" applyFont="1" applyBorder="1" applyAlignment="1">
      <alignment horizontal="center" vertical="center" wrapText="1"/>
    </xf>
    <xf numFmtId="49" fontId="11" fillId="0" borderId="5" xfId="3" applyNumberFormat="1" applyFont="1" applyBorder="1" applyAlignment="1">
      <alignment horizontal="left" vertical="center" wrapText="1"/>
    </xf>
    <xf numFmtId="177" fontId="11" fillId="0" borderId="5" xfId="3" applyNumberFormat="1" applyFont="1" applyBorder="1" applyAlignment="1">
      <alignment horizontal="right" vertical="center" wrapText="1"/>
    </xf>
    <xf numFmtId="177" fontId="4" fillId="0" borderId="2" xfId="2" applyNumberFormat="1" applyFont="1" applyBorder="1" applyAlignment="1">
      <alignment horizontal="center" vertical="center"/>
    </xf>
    <xf numFmtId="179" fontId="4" fillId="0" borderId="0" xfId="2" applyNumberFormat="1" applyFont="1" applyAlignment="1">
      <alignment horizontal="right" vertical="center"/>
    </xf>
    <xf numFmtId="0" fontId="4" fillId="2" borderId="0" xfId="2" applyFont="1" applyFill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41" fontId="14" fillId="0" borderId="8" xfId="1" applyFont="1" applyFill="1" applyBorder="1" applyAlignment="1">
      <alignment horizontal="center" vertical="center"/>
    </xf>
    <xf numFmtId="41" fontId="14" fillId="0" borderId="9" xfId="1" applyFont="1" applyFill="1" applyBorder="1" applyAlignment="1">
      <alignment horizontal="center" vertical="center"/>
    </xf>
    <xf numFmtId="177" fontId="13" fillId="2" borderId="2" xfId="2" applyNumberFormat="1" applyFont="1" applyFill="1" applyBorder="1" applyAlignment="1">
      <alignment horizontal="center" vertical="center"/>
    </xf>
    <xf numFmtId="0" fontId="4" fillId="4" borderId="2" xfId="2" applyFont="1" applyFill="1" applyBorder="1" applyAlignment="1">
      <alignment horizontal="center" vertical="center"/>
    </xf>
    <xf numFmtId="177" fontId="16" fillId="0" borderId="5" xfId="0" applyNumberFormat="1" applyFont="1" applyBorder="1" applyAlignment="1">
      <alignment horizontal="right" vertical="center" wrapText="1"/>
    </xf>
    <xf numFmtId="178" fontId="4" fillId="0" borderId="2" xfId="2" applyNumberFormat="1" applyFont="1" applyBorder="1" applyAlignment="1">
      <alignment horizontal="center" vertical="center"/>
    </xf>
    <xf numFmtId="0" fontId="9" fillId="0" borderId="0" xfId="2" applyFont="1" applyAlignment="1">
      <alignment vertical="center"/>
    </xf>
    <xf numFmtId="177" fontId="16" fillId="0" borderId="0" xfId="0" applyNumberFormat="1" applyFont="1" applyAlignment="1">
      <alignment horizontal="right" vertical="center" wrapText="1"/>
    </xf>
    <xf numFmtId="49" fontId="16" fillId="0" borderId="2" xfId="4" applyNumberFormat="1" applyFont="1" applyBorder="1" applyAlignment="1">
      <alignment horizontal="center" vertical="center" wrapText="1"/>
    </xf>
    <xf numFmtId="49" fontId="16" fillId="0" borderId="2" xfId="4" applyNumberFormat="1" applyFont="1" applyBorder="1" applyAlignment="1">
      <alignment horizontal="left" vertical="center" wrapText="1"/>
    </xf>
    <xf numFmtId="9" fontId="4" fillId="0" borderId="2" xfId="2" applyNumberFormat="1" applyFont="1" applyBorder="1" applyAlignment="1">
      <alignment horizontal="center" vertical="center"/>
    </xf>
    <xf numFmtId="177" fontId="18" fillId="5" borderId="2" xfId="5" applyNumberFormat="1" applyFont="1" applyFill="1" applyBorder="1" applyAlignment="1">
      <alignment horizontal="right" vertical="center" wrapText="1"/>
    </xf>
    <xf numFmtId="41" fontId="4" fillId="5" borderId="2" xfId="1" applyFont="1" applyFill="1" applyBorder="1" applyAlignment="1">
      <alignment horizontal="center" vertical="center"/>
    </xf>
    <xf numFmtId="49" fontId="16" fillId="0" borderId="0" xfId="4" applyNumberFormat="1" applyFont="1" applyAlignment="1">
      <alignment horizontal="center" vertical="center" wrapText="1"/>
    </xf>
    <xf numFmtId="49" fontId="16" fillId="0" borderId="0" xfId="4" applyNumberFormat="1" applyFont="1" applyAlignment="1">
      <alignment horizontal="left" vertical="center" wrapText="1"/>
    </xf>
  </cellXfs>
  <cellStyles count="6">
    <cellStyle name="쉼표 [0]" xfId="1" builtinId="6"/>
    <cellStyle name="표준" xfId="0" builtinId="0"/>
    <cellStyle name="표준 17" xfId="5" xr:uid="{83FE25C5-4AA5-475D-B477-60EFA5D2C37C}"/>
    <cellStyle name="표준 56" xfId="4" xr:uid="{43C7F0E1-FCEE-4381-BD38-E6125A7F21EC}"/>
    <cellStyle name="표준 75" xfId="3" xr:uid="{8D3C94C7-5A6F-4099-AC92-7CBF3CD856EF}"/>
    <cellStyle name="표준_알바 협조전" xfId="2" xr:uid="{D4C38611-C32E-4BB1-B7E0-D87974A34D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B1333-E5C8-4744-A1CB-A52BB32A92F8}">
  <sheetPr>
    <pageSetUpPr fitToPage="1"/>
  </sheetPr>
  <dimension ref="A2:O37"/>
  <sheetViews>
    <sheetView tabSelected="1" topLeftCell="A3" zoomScale="80" zoomScaleNormal="80" workbookViewId="0">
      <selection activeCell="E14" sqref="E14"/>
    </sheetView>
  </sheetViews>
  <sheetFormatPr defaultColWidth="8.88671875" defaultRowHeight="12"/>
  <cols>
    <col min="1" max="1" width="5.5546875" style="1" customWidth="1"/>
    <col min="2" max="2" width="8.5546875" style="2" bestFit="1" customWidth="1"/>
    <col min="3" max="3" width="24.77734375" style="3" customWidth="1"/>
    <col min="4" max="4" width="12.6640625" style="4" customWidth="1"/>
    <col min="5" max="5" width="19.6640625" style="1" customWidth="1"/>
    <col min="6" max="6" width="11.33203125" style="4" customWidth="1"/>
    <col min="7" max="7" width="19.77734375" style="4" customWidth="1"/>
    <col min="8" max="8" width="13.5546875" style="5" customWidth="1"/>
    <col min="9" max="9" width="12.5546875" style="6" customWidth="1"/>
    <col min="10" max="10" width="8.88671875" style="6"/>
    <col min="11" max="14" width="13" style="6" customWidth="1"/>
    <col min="15" max="16384" width="8.88671875" style="6"/>
  </cols>
  <sheetData>
    <row r="2" spans="1:14" ht="25.5" customHeight="1">
      <c r="K2" s="7" t="s">
        <v>0</v>
      </c>
      <c r="L2" s="8" t="s">
        <v>1</v>
      </c>
      <c r="M2" s="8" t="s">
        <v>2</v>
      </c>
      <c r="N2" s="8" t="s">
        <v>3</v>
      </c>
    </row>
    <row r="3" spans="1:14" ht="57.75" customHeight="1">
      <c r="A3" s="9" t="s">
        <v>4</v>
      </c>
      <c r="B3" s="9"/>
      <c r="C3" s="9"/>
      <c r="D3" s="9"/>
      <c r="E3" s="9"/>
      <c r="F3" s="9"/>
      <c r="G3" s="9"/>
      <c r="H3" s="9"/>
      <c r="I3" s="9"/>
      <c r="K3" s="10"/>
      <c r="L3" s="8" t="s">
        <v>5</v>
      </c>
      <c r="M3" s="8"/>
      <c r="N3" s="8"/>
    </row>
    <row r="5" spans="1:14" ht="18.75" customHeight="1">
      <c r="H5" s="11"/>
    </row>
    <row r="6" spans="1:14" ht="18.75" customHeight="1">
      <c r="A6" s="12"/>
      <c r="B6" s="13" t="s">
        <v>6</v>
      </c>
      <c r="C6" s="14" t="s">
        <v>7</v>
      </c>
      <c r="D6" s="15" t="s">
        <v>8</v>
      </c>
      <c r="E6" s="16" t="s">
        <v>9</v>
      </c>
      <c r="F6" s="15" t="s">
        <v>10</v>
      </c>
      <c r="G6" s="15" t="s">
        <v>11</v>
      </c>
      <c r="H6" s="17" t="s">
        <v>12</v>
      </c>
      <c r="I6" s="18" t="s">
        <v>13</v>
      </c>
      <c r="K6" s="19"/>
      <c r="L6" s="19" t="s">
        <v>10</v>
      </c>
    </row>
    <row r="7" spans="1:14" ht="19.149999999999999" customHeight="1">
      <c r="A7" s="20">
        <v>1</v>
      </c>
      <c r="B7" s="21" t="s">
        <v>14</v>
      </c>
      <c r="C7" s="22" t="s">
        <v>15</v>
      </c>
      <c r="D7" s="23">
        <v>6808990</v>
      </c>
      <c r="E7" s="24">
        <f>SUM(D7/$D$34)</f>
        <v>0.12810937083135934</v>
      </c>
      <c r="F7" s="25">
        <f>M11-N14-N15-N16</f>
        <v>3098607.8</v>
      </c>
      <c r="G7" s="26">
        <f>SUM(E7*$F$7%)*100</f>
        <v>396960.69571114256</v>
      </c>
      <c r="H7" s="26">
        <v>396960.69571114256</v>
      </c>
      <c r="I7" s="27">
        <f>H7/D7</f>
        <v>5.8299497533575842E-2</v>
      </c>
      <c r="K7" s="19" t="s">
        <v>10</v>
      </c>
      <c r="L7" s="28">
        <v>3590689</v>
      </c>
      <c r="M7" s="29"/>
    </row>
    <row r="8" spans="1:14" ht="19.149999999999999" customHeight="1">
      <c r="A8" s="20">
        <v>2</v>
      </c>
      <c r="B8" s="30" t="s">
        <v>16</v>
      </c>
      <c r="C8" s="31" t="s">
        <v>17</v>
      </c>
      <c r="D8" s="32">
        <v>5409300</v>
      </c>
      <c r="E8" s="24">
        <f t="shared" ref="E8:E31" si="0">SUM(D8/$D$34)</f>
        <v>0.10177456856862356</v>
      </c>
      <c r="F8" s="33"/>
      <c r="G8" s="26">
        <f t="shared" ref="G8:G31" si="1">SUM(E8*$F$7%)*100</f>
        <v>315359.47200837178</v>
      </c>
      <c r="H8" s="26">
        <v>315359.47200837178</v>
      </c>
      <c r="I8" s="27">
        <f t="shared" ref="I8:I33" si="2">H8/D8</f>
        <v>5.8299497533575842E-2</v>
      </c>
      <c r="M8" s="29"/>
    </row>
    <row r="9" spans="1:14" ht="19.149999999999999" customHeight="1" thickBot="1">
      <c r="A9" s="20">
        <v>3</v>
      </c>
      <c r="B9" s="30" t="s">
        <v>18</v>
      </c>
      <c r="C9" s="31" t="s">
        <v>19</v>
      </c>
      <c r="D9" s="32">
        <v>5400760</v>
      </c>
      <c r="E9" s="24">
        <f t="shared" si="0"/>
        <v>0.10161389069614911</v>
      </c>
      <c r="F9" s="33"/>
      <c r="G9" s="26">
        <f t="shared" si="1"/>
        <v>314861.59429943503</v>
      </c>
      <c r="H9" s="26">
        <v>314861.59429943503</v>
      </c>
      <c r="I9" s="27">
        <f t="shared" si="2"/>
        <v>5.8299497533575835E-2</v>
      </c>
      <c r="L9" s="34"/>
      <c r="M9" s="4"/>
      <c r="N9" s="4"/>
    </row>
    <row r="10" spans="1:14" s="35" customFormat="1" ht="19.149999999999999" customHeight="1">
      <c r="A10" s="20">
        <v>4</v>
      </c>
      <c r="B10" s="30" t="s">
        <v>20</v>
      </c>
      <c r="C10" s="31" t="s">
        <v>21</v>
      </c>
      <c r="D10" s="32">
        <v>3628440</v>
      </c>
      <c r="E10" s="24">
        <f t="shared" si="0"/>
        <v>6.8268152178125915E-2</v>
      </c>
      <c r="F10" s="33"/>
      <c r="G10" s="26">
        <f t="shared" si="1"/>
        <v>211536.22883072795</v>
      </c>
      <c r="H10" s="26">
        <v>211536.22883072795</v>
      </c>
      <c r="I10" s="27">
        <f t="shared" si="2"/>
        <v>5.8299497533575849E-2</v>
      </c>
      <c r="K10" s="6"/>
      <c r="L10" s="6"/>
      <c r="M10" s="36" t="s">
        <v>22</v>
      </c>
      <c r="N10" s="37"/>
    </row>
    <row r="11" spans="1:14" s="35" customFormat="1" ht="19.149999999999999" customHeight="1" thickBot="1">
      <c r="A11" s="20">
        <v>5</v>
      </c>
      <c r="B11" s="30" t="s">
        <v>23</v>
      </c>
      <c r="C11" s="31" t="s">
        <v>24</v>
      </c>
      <c r="D11" s="32">
        <v>3572320</v>
      </c>
      <c r="E11" s="24">
        <f t="shared" si="0"/>
        <v>6.7212269016150947E-2</v>
      </c>
      <c r="F11" s="33"/>
      <c r="G11" s="26">
        <f t="shared" si="1"/>
        <v>208264.46102914365</v>
      </c>
      <c r="H11" s="26">
        <v>208264.46102914365</v>
      </c>
      <c r="I11" s="27">
        <f t="shared" si="2"/>
        <v>5.8299497533575842E-2</v>
      </c>
      <c r="K11" s="6"/>
      <c r="L11" s="6"/>
      <c r="M11" s="38">
        <v>3590689</v>
      </c>
      <c r="N11" s="39"/>
    </row>
    <row r="12" spans="1:14" ht="19.149999999999999" customHeight="1">
      <c r="A12" s="20">
        <v>6</v>
      </c>
      <c r="B12" s="30" t="s">
        <v>25</v>
      </c>
      <c r="C12" s="31" t="s">
        <v>26</v>
      </c>
      <c r="D12" s="32">
        <v>3546220</v>
      </c>
      <c r="E12" s="24">
        <f t="shared" si="0"/>
        <v>6.6721204323928099E-2</v>
      </c>
      <c r="F12" s="26"/>
      <c r="G12" s="26">
        <f t="shared" si="1"/>
        <v>206742.84414351732</v>
      </c>
      <c r="H12" s="26">
        <v>206742.84414351732</v>
      </c>
      <c r="I12" s="27">
        <f t="shared" si="2"/>
        <v>5.8299497533575842E-2</v>
      </c>
    </row>
    <row r="13" spans="1:14" ht="19.149999999999999" customHeight="1">
      <c r="A13" s="20">
        <v>7</v>
      </c>
      <c r="B13" s="30" t="s">
        <v>27</v>
      </c>
      <c r="C13" s="31" t="s">
        <v>28</v>
      </c>
      <c r="D13" s="32">
        <v>3190370</v>
      </c>
      <c r="E13" s="24">
        <f t="shared" si="0"/>
        <v>6.0025979391839894E-2</v>
      </c>
      <c r="F13" s="26"/>
      <c r="G13" s="26">
        <f t="shared" si="1"/>
        <v>185996.96794619435</v>
      </c>
      <c r="H13" s="26">
        <v>185996.96794619435</v>
      </c>
      <c r="I13" s="27">
        <f t="shared" si="2"/>
        <v>5.8299497533575835E-2</v>
      </c>
      <c r="K13" s="19"/>
      <c r="L13" s="19" t="s">
        <v>29</v>
      </c>
      <c r="M13" s="19" t="s">
        <v>30</v>
      </c>
      <c r="N13" s="19" t="s">
        <v>31</v>
      </c>
    </row>
    <row r="14" spans="1:14" s="35" customFormat="1" ht="19.149999999999999" customHeight="1">
      <c r="A14" s="20">
        <v>8</v>
      </c>
      <c r="B14" s="30" t="s">
        <v>32</v>
      </c>
      <c r="C14" s="31" t="s">
        <v>33</v>
      </c>
      <c r="D14" s="32">
        <v>2426470</v>
      </c>
      <c r="E14" s="24">
        <f t="shared" si="0"/>
        <v>4.5653400143217795E-2</v>
      </c>
      <c r="F14" s="40"/>
      <c r="G14" s="26">
        <f t="shared" si="1"/>
        <v>141461.98178029576</v>
      </c>
      <c r="H14" s="26">
        <v>141461.98178029576</v>
      </c>
      <c r="I14" s="27">
        <f t="shared" si="2"/>
        <v>5.8299497533575835E-2</v>
      </c>
      <c r="K14" s="41" t="s">
        <v>34</v>
      </c>
      <c r="L14" s="42">
        <v>3692540</v>
      </c>
      <c r="M14" s="43">
        <v>0.08</v>
      </c>
      <c r="N14" s="33">
        <f>L14*M14</f>
        <v>295403.2</v>
      </c>
    </row>
    <row r="15" spans="1:14" ht="19.149999999999999" customHeight="1">
      <c r="A15" s="20">
        <v>9</v>
      </c>
      <c r="B15" s="30" t="s">
        <v>35</v>
      </c>
      <c r="C15" s="31" t="s">
        <v>36</v>
      </c>
      <c r="D15" s="32">
        <v>2223710</v>
      </c>
      <c r="E15" s="24">
        <f t="shared" si="0"/>
        <v>4.1838523629995357E-2</v>
      </c>
      <c r="F15" s="26"/>
      <c r="G15" s="26">
        <f t="shared" si="1"/>
        <v>129641.17566038792</v>
      </c>
      <c r="H15" s="26">
        <v>129641.17566038792</v>
      </c>
      <c r="I15" s="27">
        <f t="shared" si="2"/>
        <v>5.8299497533575835E-2</v>
      </c>
      <c r="K15" s="41" t="s">
        <v>37</v>
      </c>
      <c r="L15" s="42">
        <v>3933560</v>
      </c>
      <c r="M15" s="43">
        <v>0.05</v>
      </c>
      <c r="N15" s="33">
        <f>L15*M15</f>
        <v>196678</v>
      </c>
    </row>
    <row r="16" spans="1:14" ht="19.149999999999999" customHeight="1">
      <c r="A16" s="20">
        <v>10</v>
      </c>
      <c r="B16" s="30" t="s">
        <v>38</v>
      </c>
      <c r="C16" s="31" t="s">
        <v>39</v>
      </c>
      <c r="D16" s="32">
        <v>1853030</v>
      </c>
      <c r="E16" s="24">
        <f t="shared" si="0"/>
        <v>3.4864276116080922E-2</v>
      </c>
      <c r="F16" s="26"/>
      <c r="G16" s="26">
        <f t="shared" si="1"/>
        <v>108030.71791464204</v>
      </c>
      <c r="H16" s="26">
        <v>108030.71791464204</v>
      </c>
      <c r="I16" s="27">
        <f t="shared" si="2"/>
        <v>5.8299497533575842E-2</v>
      </c>
      <c r="K16" s="41"/>
      <c r="L16" s="42"/>
      <c r="M16" s="43"/>
      <c r="N16" s="33"/>
    </row>
    <row r="17" spans="1:15" ht="19.149999999999999" customHeight="1">
      <c r="A17" s="20">
        <v>11</v>
      </c>
      <c r="B17" s="30" t="s">
        <v>40</v>
      </c>
      <c r="C17" s="31" t="s">
        <v>41</v>
      </c>
      <c r="D17" s="32">
        <v>1716810</v>
      </c>
      <c r="E17" s="24">
        <f t="shared" si="0"/>
        <v>3.2301332346939278E-2</v>
      </c>
      <c r="F17" s="26"/>
      <c r="G17" s="26">
        <f t="shared" si="1"/>
        <v>100089.16036061835</v>
      </c>
      <c r="H17" s="26">
        <v>100089.16036061835</v>
      </c>
      <c r="I17" s="27">
        <f t="shared" si="2"/>
        <v>5.8299497533575849E-2</v>
      </c>
    </row>
    <row r="18" spans="1:15" ht="19.149999999999999" customHeight="1">
      <c r="A18" s="20">
        <v>12</v>
      </c>
      <c r="B18" s="30" t="s">
        <v>42</v>
      </c>
      <c r="C18" s="31" t="s">
        <v>43</v>
      </c>
      <c r="D18" s="32">
        <v>1687460</v>
      </c>
      <c r="E18" s="24">
        <f t="shared" si="0"/>
        <v>3.1749119752428133E-2</v>
      </c>
      <c r="F18" s="26"/>
      <c r="G18" s="26">
        <f t="shared" si="1"/>
        <v>98378.070108007872</v>
      </c>
      <c r="H18" s="26">
        <v>98378.070108007872</v>
      </c>
      <c r="I18" s="27">
        <f t="shared" si="2"/>
        <v>5.8299497533575828E-2</v>
      </c>
    </row>
    <row r="19" spans="1:15" ht="19.149999999999999" customHeight="1">
      <c r="A19" s="20">
        <v>13</v>
      </c>
      <c r="B19" s="30" t="s">
        <v>44</v>
      </c>
      <c r="C19" s="31" t="s">
        <v>45</v>
      </c>
      <c r="D19" s="32">
        <v>1625320</v>
      </c>
      <c r="E19" s="24">
        <f t="shared" si="0"/>
        <v>3.0579971860676104E-2</v>
      </c>
      <c r="F19" s="26"/>
      <c r="G19" s="26">
        <f t="shared" si="1"/>
        <v>94755.339331271476</v>
      </c>
      <c r="H19" s="26">
        <v>94755.339331271476</v>
      </c>
      <c r="I19" s="27">
        <f t="shared" si="2"/>
        <v>5.8299497533575835E-2</v>
      </c>
    </row>
    <row r="20" spans="1:15" ht="19.149999999999999" customHeight="1">
      <c r="A20" s="20">
        <v>14</v>
      </c>
      <c r="B20" s="30" t="s">
        <v>46</v>
      </c>
      <c r="C20" s="31" t="s">
        <v>47</v>
      </c>
      <c r="D20" s="32">
        <v>1474950</v>
      </c>
      <c r="E20" s="24">
        <f t="shared" si="0"/>
        <v>2.7750799532340845E-2</v>
      </c>
      <c r="F20" s="26"/>
      <c r="G20" s="26">
        <f t="shared" si="1"/>
        <v>85988.843887147683</v>
      </c>
      <c r="H20" s="26">
        <v>85988.843887147683</v>
      </c>
      <c r="I20" s="27">
        <f t="shared" si="2"/>
        <v>5.8299497533575835E-2</v>
      </c>
      <c r="L20" s="44"/>
      <c r="M20" s="44"/>
      <c r="N20" s="44"/>
    </row>
    <row r="21" spans="1:15" ht="19.149999999999999" customHeight="1">
      <c r="A21" s="20">
        <v>15</v>
      </c>
      <c r="B21" s="30" t="s">
        <v>48</v>
      </c>
      <c r="C21" s="31" t="s">
        <v>49</v>
      </c>
      <c r="D21" s="32">
        <v>1443750</v>
      </c>
      <c r="E21" s="24">
        <f t="shared" si="0"/>
        <v>2.7163779670373294E-2</v>
      </c>
      <c r="F21" s="26"/>
      <c r="G21" s="26">
        <f t="shared" si="1"/>
        <v>84169.899564100109</v>
      </c>
      <c r="H21" s="26">
        <v>84169.899564100109</v>
      </c>
      <c r="I21" s="27">
        <f t="shared" si="2"/>
        <v>5.8299497533575835E-2</v>
      </c>
      <c r="L21" s="45"/>
      <c r="M21" s="29"/>
      <c r="N21" s="4"/>
    </row>
    <row r="22" spans="1:15" ht="19.149999999999999" customHeight="1">
      <c r="A22" s="20">
        <v>16</v>
      </c>
      <c r="B22" s="30" t="s">
        <v>50</v>
      </c>
      <c r="C22" s="31" t="s">
        <v>51</v>
      </c>
      <c r="D22" s="32">
        <v>1429400</v>
      </c>
      <c r="E22" s="24">
        <f t="shared" si="0"/>
        <v>2.6893788163346553E-2</v>
      </c>
      <c r="F22" s="26"/>
      <c r="G22" s="26">
        <f t="shared" si="1"/>
        <v>83333.301774493288</v>
      </c>
      <c r="H22" s="26">
        <v>83333.301774493288</v>
      </c>
      <c r="I22" s="27">
        <f t="shared" si="2"/>
        <v>5.8299497533575828E-2</v>
      </c>
      <c r="L22" s="45"/>
      <c r="M22" s="29"/>
      <c r="N22" s="4"/>
    </row>
    <row r="23" spans="1:15" ht="19.149999999999999" customHeight="1">
      <c r="A23" s="20">
        <v>17</v>
      </c>
      <c r="B23" s="30" t="s">
        <v>52</v>
      </c>
      <c r="C23" s="31" t="s">
        <v>53</v>
      </c>
      <c r="D23" s="32">
        <v>1255840</v>
      </c>
      <c r="E23" s="24">
        <f t="shared" si="0"/>
        <v>2.3628302033760415E-2</v>
      </c>
      <c r="F23" s="26"/>
      <c r="G23" s="26">
        <f t="shared" si="1"/>
        <v>73214.840982565875</v>
      </c>
      <c r="H23" s="26">
        <v>73214.840982565875</v>
      </c>
      <c r="I23" s="27">
        <f t="shared" si="2"/>
        <v>5.8299497533575835E-2</v>
      </c>
      <c r="K23" s="4"/>
      <c r="L23" s="4"/>
      <c r="M23" s="4"/>
      <c r="N23" s="4"/>
      <c r="O23" s="4"/>
    </row>
    <row r="24" spans="1:15" ht="19.149999999999999" customHeight="1">
      <c r="A24" s="20">
        <v>18</v>
      </c>
      <c r="B24" s="30" t="s">
        <v>54</v>
      </c>
      <c r="C24" s="31" t="s">
        <v>55</v>
      </c>
      <c r="D24" s="32">
        <v>1017070</v>
      </c>
      <c r="E24" s="24">
        <f t="shared" si="0"/>
        <v>1.9135906763183771E-2</v>
      </c>
      <c r="F24" s="26"/>
      <c r="G24" s="26">
        <f t="shared" si="1"/>
        <v>59294.669956473976</v>
      </c>
      <c r="H24" s="26">
        <v>59294.669956473976</v>
      </c>
      <c r="I24" s="27">
        <f t="shared" si="2"/>
        <v>5.8299497533575835E-2</v>
      </c>
      <c r="K24" s="4"/>
      <c r="L24" s="4"/>
      <c r="M24" s="4"/>
      <c r="N24" s="4"/>
    </row>
    <row r="25" spans="1:15" ht="19.149999999999999" customHeight="1">
      <c r="A25" s="20">
        <v>19</v>
      </c>
      <c r="B25" s="30" t="s">
        <v>56</v>
      </c>
      <c r="C25" s="31" t="s">
        <v>57</v>
      </c>
      <c r="D25" s="32">
        <v>877500</v>
      </c>
      <c r="E25" s="24">
        <f t="shared" si="0"/>
        <v>1.6509933617837275E-2</v>
      </c>
      <c r="F25" s="26"/>
      <c r="G25" s="26">
        <f t="shared" si="1"/>
        <v>51157.809085712797</v>
      </c>
      <c r="H25" s="26">
        <v>51157.809085712797</v>
      </c>
      <c r="I25" s="27">
        <f t="shared" si="2"/>
        <v>5.8299497533575835E-2</v>
      </c>
      <c r="K25" s="4"/>
      <c r="L25" s="4"/>
      <c r="M25" s="4"/>
      <c r="N25" s="4"/>
    </row>
    <row r="26" spans="1:15" ht="19.149999999999999" customHeight="1">
      <c r="A26" s="20">
        <v>20</v>
      </c>
      <c r="B26" s="30" t="s">
        <v>58</v>
      </c>
      <c r="C26" s="31" t="s">
        <v>59</v>
      </c>
      <c r="D26" s="32">
        <v>775060</v>
      </c>
      <c r="E26" s="24">
        <f t="shared" si="0"/>
        <v>1.4582551737710494E-2</v>
      </c>
      <c r="F26" s="26"/>
      <c r="G26" s="26">
        <f t="shared" si="1"/>
        <v>45185.608558373286</v>
      </c>
      <c r="H26" s="26">
        <v>45185.608558373286</v>
      </c>
      <c r="I26" s="27">
        <f t="shared" si="2"/>
        <v>5.8299497533575835E-2</v>
      </c>
      <c r="K26" s="4"/>
      <c r="L26" s="4"/>
      <c r="M26" s="4"/>
      <c r="N26" s="4"/>
    </row>
    <row r="27" spans="1:15" ht="19.149999999999999" customHeight="1">
      <c r="A27" s="20">
        <v>21</v>
      </c>
      <c r="B27" s="30" t="s">
        <v>60</v>
      </c>
      <c r="C27" s="31" t="s">
        <v>61</v>
      </c>
      <c r="D27" s="32">
        <v>531060</v>
      </c>
      <c r="E27" s="24">
        <f t="shared" si="0"/>
        <v>9.9917553812976217E-3</v>
      </c>
      <c r="F27" s="26"/>
      <c r="G27" s="26">
        <f t="shared" si="1"/>
        <v>30960.531160180784</v>
      </c>
      <c r="H27" s="26">
        <v>30960.531160180784</v>
      </c>
      <c r="I27" s="27">
        <f t="shared" si="2"/>
        <v>5.8299497533575835E-2</v>
      </c>
      <c r="K27" s="4"/>
      <c r="L27" s="4"/>
      <c r="M27" s="4"/>
      <c r="N27" s="4"/>
    </row>
    <row r="28" spans="1:15" ht="19.149999999999999" customHeight="1">
      <c r="A28" s="20">
        <v>22</v>
      </c>
      <c r="B28" s="30" t="s">
        <v>62</v>
      </c>
      <c r="C28" s="31" t="s">
        <v>63</v>
      </c>
      <c r="D28" s="32">
        <v>489260</v>
      </c>
      <c r="E28" s="24">
        <f t="shared" si="0"/>
        <v>9.2052992841744341E-3</v>
      </c>
      <c r="F28" s="26"/>
      <c r="G28" s="26">
        <f t="shared" si="1"/>
        <v>28523.612163277317</v>
      </c>
      <c r="H28" s="26">
        <v>28523.612163277317</v>
      </c>
      <c r="I28" s="27">
        <f t="shared" si="2"/>
        <v>5.8299497533575842E-2</v>
      </c>
    </row>
    <row r="29" spans="1:15" ht="19.149999999999999" customHeight="1">
      <c r="A29" s="20">
        <v>23</v>
      </c>
      <c r="B29" s="30" t="s">
        <v>64</v>
      </c>
      <c r="C29" s="31" t="s">
        <v>65</v>
      </c>
      <c r="D29" s="32">
        <v>372180</v>
      </c>
      <c r="E29" s="24">
        <f t="shared" si="0"/>
        <v>7.0024696226628803E-3</v>
      </c>
      <c r="F29" s="26"/>
      <c r="G29" s="26">
        <f t="shared" si="1"/>
        <v>21697.906992046257</v>
      </c>
      <c r="H29" s="26">
        <v>21697.906992046257</v>
      </c>
      <c r="I29" s="27">
        <f t="shared" si="2"/>
        <v>5.8299497533575842E-2</v>
      </c>
      <c r="O29" s="4"/>
    </row>
    <row r="30" spans="1:15" ht="19.149999999999999" customHeight="1">
      <c r="A30" s="20">
        <v>24</v>
      </c>
      <c r="B30" s="30" t="s">
        <v>66</v>
      </c>
      <c r="C30" s="31" t="s">
        <v>67</v>
      </c>
      <c r="D30" s="32">
        <v>227600</v>
      </c>
      <c r="E30" s="24">
        <f t="shared" si="0"/>
        <v>4.2822346340965975E-3</v>
      </c>
      <c r="F30" s="26"/>
      <c r="G30" s="26">
        <f t="shared" si="1"/>
        <v>13268.965638641861</v>
      </c>
      <c r="H30" s="26">
        <v>13268.965638641861</v>
      </c>
      <c r="I30" s="27">
        <f t="shared" si="2"/>
        <v>5.8299497533575842E-2</v>
      </c>
      <c r="O30" s="4"/>
    </row>
    <row r="31" spans="1:15" ht="19.149999999999999" customHeight="1">
      <c r="A31" s="20">
        <v>25</v>
      </c>
      <c r="B31" s="30" t="s">
        <v>68</v>
      </c>
      <c r="C31" s="31" t="s">
        <v>69</v>
      </c>
      <c r="D31" s="32">
        <v>166950</v>
      </c>
      <c r="E31" s="24">
        <f t="shared" si="0"/>
        <v>3.1411207037013483E-3</v>
      </c>
      <c r="F31" s="26"/>
      <c r="G31" s="26">
        <f t="shared" si="1"/>
        <v>9733.1011132304866</v>
      </c>
      <c r="H31" s="26">
        <v>9733.1011132304866</v>
      </c>
      <c r="I31" s="27">
        <f t="shared" si="2"/>
        <v>5.8299497533575842E-2</v>
      </c>
      <c r="O31" s="4"/>
    </row>
    <row r="32" spans="1:15" ht="19.149999999999999" customHeight="1">
      <c r="A32" s="20">
        <v>26</v>
      </c>
      <c r="B32" s="30" t="s">
        <v>70</v>
      </c>
      <c r="C32" s="31" t="s">
        <v>71</v>
      </c>
      <c r="D32" s="32">
        <v>3692540</v>
      </c>
      <c r="E32" s="24"/>
      <c r="F32" s="26"/>
      <c r="G32" s="33">
        <v>295403.2</v>
      </c>
      <c r="H32" s="26">
        <v>295403.2</v>
      </c>
      <c r="I32" s="27">
        <f t="shared" si="2"/>
        <v>0.08</v>
      </c>
    </row>
    <row r="33" spans="1:11" ht="19.149999999999999" customHeight="1">
      <c r="A33" s="20">
        <v>27</v>
      </c>
      <c r="B33" s="30" t="s">
        <v>72</v>
      </c>
      <c r="C33" s="31" t="s">
        <v>73</v>
      </c>
      <c r="D33" s="32">
        <v>3933560</v>
      </c>
      <c r="E33" s="24"/>
      <c r="F33" s="26"/>
      <c r="G33" s="33">
        <v>196678</v>
      </c>
      <c r="H33" s="26">
        <v>196678</v>
      </c>
      <c r="I33" s="27">
        <f t="shared" si="2"/>
        <v>0.05</v>
      </c>
    </row>
    <row r="34" spans="1:11" ht="18.75" customHeight="1">
      <c r="A34" s="20"/>
      <c r="B34" s="46"/>
      <c r="C34" s="47"/>
      <c r="D34" s="33">
        <f>SUM(D7:D31)</f>
        <v>53149820</v>
      </c>
      <c r="E34" s="48">
        <f>SUM(E7:E31)</f>
        <v>1.0000000000000002</v>
      </c>
      <c r="F34" s="49">
        <f>SUM(F7:F29)</f>
        <v>3098607.8</v>
      </c>
      <c r="G34" s="50">
        <f>SUM(G7:G33)</f>
        <v>3590688.9999999995</v>
      </c>
      <c r="H34" s="50">
        <f>SUM(H7:H33)</f>
        <v>3590688.9999999995</v>
      </c>
      <c r="I34" s="27">
        <f>H34/SUM(D7:D33)</f>
        <v>5.9080783968387472E-2</v>
      </c>
      <c r="K34" s="33">
        <f>I34*J34</f>
        <v>0</v>
      </c>
    </row>
    <row r="35" spans="1:11">
      <c r="B35" s="51"/>
      <c r="C35" s="52"/>
    </row>
    <row r="37" spans="1:11" ht="14.25" customHeight="1"/>
  </sheetData>
  <mergeCells count="4">
    <mergeCell ref="K2:K3"/>
    <mergeCell ref="A3:I3"/>
    <mergeCell ref="M10:N10"/>
    <mergeCell ref="M11:N11"/>
  </mergeCells>
  <phoneticPr fontId="5" type="noConversion"/>
  <pageMargins left="0.7" right="0.7" top="0.75" bottom="0.75" header="0.3" footer="0.3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도급알바정산양식</vt:lpstr>
      <vt:lpstr>도급알바정산양식!Print_Area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조준수(상품지원팀)</dc:creator>
  <cp:lastModifiedBy>조준수(상품지원팀)</cp:lastModifiedBy>
  <dcterms:created xsi:type="dcterms:W3CDTF">2026-04-20T02:24:18Z</dcterms:created>
  <dcterms:modified xsi:type="dcterms:W3CDTF">2026-04-20T02:25:07Z</dcterms:modified>
</cp:coreProperties>
</file>