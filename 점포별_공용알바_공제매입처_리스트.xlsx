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매입처마스터" sheetId="1" state="visible" r:id="rId3"/>
    <sheet name="점포별매출매트릭스" sheetId="2" state="visible" r:id="rId4"/>
    <sheet name="광화문점" sheetId="3" state="visible" r:id="rId5"/>
    <sheet name="강남점" sheetId="4" state="visible" r:id="rId6"/>
    <sheet name="잠실점" sheetId="5" state="visible" r:id="rId7"/>
    <sheet name="부산점" sheetId="6" state="visible" r:id="rId8"/>
    <sheet name="창원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<sst xmlns="http://schemas.openxmlformats.org/spreadsheetml/2006/main" count="1171" uniqueCount="219">
  <si>
    <t xml:space="preserve">No</t>
  </si>
  <si>
    <t xml:space="preserve">구분</t>
  </si>
  <si>
    <t xml:space="preserve">매입처코드</t>
  </si>
  <si>
    <t xml:space="preserve">매입처명</t>
  </si>
  <si>
    <t xml:space="preserve">매입처품목코드</t>
  </si>
  <si>
    <t xml:space="preserve">매입처품목코드명</t>
  </si>
  <si>
    <t xml:space="preserve">문구</t>
  </si>
  <si>
    <t xml:space="preserve">0803741</t>
  </si>
  <si>
    <t xml:space="preserve">BST</t>
  </si>
  <si>
    <t xml:space="preserve">IC003841</t>
  </si>
  <si>
    <r>
      <rPr>
        <sz val="10"/>
        <rFont val="맑은 고딕"/>
        <family val="0"/>
        <charset val="1"/>
      </rPr>
      <t xml:space="preserve">BST </t>
    </r>
    <r>
      <rPr>
        <sz val="10"/>
        <rFont val="Noto Sans CJK SC"/>
        <family val="2"/>
      </rPr>
      <t xml:space="preserve">대표상품</t>
    </r>
  </si>
  <si>
    <t xml:space="preserve">0803791</t>
  </si>
  <si>
    <t xml:space="preserve">공장</t>
  </si>
  <si>
    <t xml:space="preserve">IC003891</t>
  </si>
  <si>
    <t xml:space="preserve">공장 일반</t>
  </si>
  <si>
    <t xml:space="preserve">0816555</t>
  </si>
  <si>
    <t xml:space="preserve">냐냐온 스튜디오</t>
  </si>
  <si>
    <t xml:space="preserve">IC006655</t>
  </si>
  <si>
    <t xml:space="preserve">냐냐온 스튜디오 문구행사</t>
  </si>
  <si>
    <t xml:space="preserve">0817528</t>
  </si>
  <si>
    <t xml:space="preserve">누크코퍼레이션</t>
  </si>
  <si>
    <t xml:space="preserve">IC007628</t>
  </si>
  <si>
    <r>
      <rPr>
        <sz val="10"/>
        <rFont val="Noto Sans CJK SC"/>
        <family val="2"/>
      </rPr>
      <t xml:space="preserve">누크코퍼레이션 </t>
    </r>
    <r>
      <rPr>
        <sz val="10"/>
        <rFont val="맑은 고딕"/>
        <family val="0"/>
        <charset val="1"/>
      </rPr>
      <t xml:space="preserve">PB</t>
    </r>
  </si>
  <si>
    <t xml:space="preserve">0807485</t>
  </si>
  <si>
    <t xml:space="preserve">대시앤도트</t>
  </si>
  <si>
    <t xml:space="preserve">IC007585</t>
  </si>
  <si>
    <t xml:space="preserve">대시앤도트 기획전</t>
  </si>
  <si>
    <t xml:space="preserve">0817625</t>
  </si>
  <si>
    <t xml:space="preserve">대인커머스</t>
  </si>
  <si>
    <t xml:space="preserve">IC007725</t>
  </si>
  <si>
    <t xml:space="preserve">대인커머스 정품</t>
  </si>
  <si>
    <t xml:space="preserve">0816903</t>
  </si>
  <si>
    <t xml:space="preserve">더시호</t>
  </si>
  <si>
    <t xml:space="preserve">IC007003</t>
  </si>
  <si>
    <t xml:space="preserve">더시호 특가</t>
  </si>
  <si>
    <t xml:space="preserve">0818620</t>
  </si>
  <si>
    <t xml:space="preserve">더토브</t>
  </si>
  <si>
    <t xml:space="preserve">IC008720</t>
  </si>
  <si>
    <t xml:space="preserve">더토브 증정</t>
  </si>
  <si>
    <t xml:space="preserve">0817225</t>
  </si>
  <si>
    <t xml:space="preserve">도혜드로잉</t>
  </si>
  <si>
    <t xml:space="preserve">IC007325</t>
  </si>
  <si>
    <t xml:space="preserve">도혜드로잉 리미티드</t>
  </si>
  <si>
    <t xml:space="preserve">0810456</t>
  </si>
  <si>
    <t xml:space="preserve">디앤에프조이필</t>
  </si>
  <si>
    <t xml:space="preserve">IC000556</t>
  </si>
  <si>
    <t xml:space="preserve">디앤에프조이필 베이직</t>
  </si>
  <si>
    <t xml:space="preserve">0803503</t>
  </si>
  <si>
    <t xml:space="preserve">로마네</t>
  </si>
  <si>
    <t xml:space="preserve">IC003603</t>
  </si>
  <si>
    <r>
      <rPr>
        <sz val="10"/>
        <rFont val="Noto Sans CJK SC"/>
        <family val="2"/>
      </rPr>
      <t xml:space="preserve">로마네 </t>
    </r>
    <r>
      <rPr>
        <sz val="10"/>
        <rFont val="맑은 고딕"/>
        <family val="0"/>
        <charset val="1"/>
      </rPr>
      <t xml:space="preserve">PB</t>
    </r>
  </si>
  <si>
    <t xml:space="preserve">0816525</t>
  </si>
  <si>
    <t xml:space="preserve">루카랩컴퍼니</t>
  </si>
  <si>
    <t xml:space="preserve">IC006625</t>
  </si>
  <si>
    <t xml:space="preserve">루카랩컴퍼니 기획전</t>
  </si>
  <si>
    <t xml:space="preserve">0812988</t>
  </si>
  <si>
    <t xml:space="preserve">모트모트</t>
  </si>
  <si>
    <t xml:space="preserve">IC003088</t>
  </si>
  <si>
    <t xml:space="preserve">모트모트 증정</t>
  </si>
  <si>
    <t xml:space="preserve">0811795</t>
  </si>
  <si>
    <t xml:space="preserve">베르제마넷</t>
  </si>
  <si>
    <t xml:space="preserve">IC001895</t>
  </si>
  <si>
    <t xml:space="preserve">베르제마넷 대표상품</t>
  </si>
  <si>
    <t xml:space="preserve">0817604</t>
  </si>
  <si>
    <t xml:space="preserve">비온뒤</t>
  </si>
  <si>
    <t xml:space="preserve">IC007704</t>
  </si>
  <si>
    <t xml:space="preserve">비온뒤 일반</t>
  </si>
  <si>
    <t xml:space="preserve">0803289</t>
  </si>
  <si>
    <t xml:space="preserve">솜씨스템프</t>
  </si>
  <si>
    <t xml:space="preserve">IC003389</t>
  </si>
  <si>
    <r>
      <rPr>
        <sz val="10"/>
        <rFont val="Noto Sans CJK SC"/>
        <family val="2"/>
      </rPr>
      <t xml:space="preserve">솜씨스템프 </t>
    </r>
    <r>
      <rPr>
        <sz val="10"/>
        <rFont val="맑은 고딕"/>
        <family val="0"/>
        <charset val="1"/>
      </rPr>
      <t xml:space="preserve">PB</t>
    </r>
  </si>
  <si>
    <t xml:space="preserve">0803222</t>
  </si>
  <si>
    <t xml:space="preserve">아르디움</t>
  </si>
  <si>
    <t xml:space="preserve">IC003322</t>
  </si>
  <si>
    <t xml:space="preserve">아르디움 특가</t>
  </si>
  <si>
    <t xml:space="preserve">0803186</t>
  </si>
  <si>
    <t xml:space="preserve">아이코닉</t>
  </si>
  <si>
    <t xml:space="preserve">IC003286</t>
  </si>
  <si>
    <t xml:space="preserve">아이코닉 리미티드</t>
  </si>
  <si>
    <t xml:space="preserve">0803159</t>
  </si>
  <si>
    <t xml:space="preserve">안테나샵</t>
  </si>
  <si>
    <t xml:space="preserve">IC003259</t>
  </si>
  <si>
    <t xml:space="preserve">안테나샵 베이직</t>
  </si>
  <si>
    <t xml:space="preserve">0803303</t>
  </si>
  <si>
    <t xml:space="preserve">이투컬렉션</t>
  </si>
  <si>
    <t xml:space="preserve">IC003403</t>
  </si>
  <si>
    <r>
      <rPr>
        <sz val="10"/>
        <rFont val="Noto Sans CJK SC"/>
        <family val="2"/>
      </rPr>
      <t xml:space="preserve">이투컬렉션 </t>
    </r>
    <r>
      <rPr>
        <sz val="10"/>
        <rFont val="맑은 고딕"/>
        <family val="0"/>
        <charset val="1"/>
      </rPr>
      <t xml:space="preserve">PB</t>
    </r>
  </si>
  <si>
    <t xml:space="preserve">0803690</t>
  </si>
  <si>
    <t xml:space="preserve">인디고</t>
  </si>
  <si>
    <t xml:space="preserve">IC003790</t>
  </si>
  <si>
    <t xml:space="preserve">인디고 기획전</t>
  </si>
  <si>
    <t xml:space="preserve">0803825</t>
  </si>
  <si>
    <t xml:space="preserve">정인통상</t>
  </si>
  <si>
    <t xml:space="preserve">IC003925</t>
  </si>
  <si>
    <t xml:space="preserve">정인통상 정품</t>
  </si>
  <si>
    <t xml:space="preserve">0803187</t>
  </si>
  <si>
    <t xml:space="preserve">칠삼이일디자인</t>
  </si>
  <si>
    <t xml:space="preserve">IC003287</t>
  </si>
  <si>
    <t xml:space="preserve">칠삼이일디자인 증정</t>
  </si>
  <si>
    <t xml:space="preserve">0811513</t>
  </si>
  <si>
    <t xml:space="preserve">캘리엠</t>
  </si>
  <si>
    <t xml:space="preserve">IC001613</t>
  </si>
  <si>
    <t xml:space="preserve">캘리엠 리미티드</t>
  </si>
  <si>
    <t xml:space="preserve">0810588</t>
  </si>
  <si>
    <t xml:space="preserve">케이디코퍼레이션</t>
  </si>
  <si>
    <t xml:space="preserve">IC000688</t>
  </si>
  <si>
    <t xml:space="preserve">케이디코퍼레이션 대표상품</t>
  </si>
  <si>
    <t xml:space="preserve">0818036</t>
  </si>
  <si>
    <t xml:space="preserve">페펜스튜디오</t>
  </si>
  <si>
    <t xml:space="preserve">IC008136</t>
  </si>
  <si>
    <r>
      <rPr>
        <sz val="10"/>
        <rFont val="Noto Sans CJK SC"/>
        <family val="2"/>
      </rPr>
      <t xml:space="preserve">페펜스튜디오 </t>
    </r>
    <r>
      <rPr>
        <sz val="10"/>
        <rFont val="맑은 고딕"/>
        <family val="0"/>
        <charset val="1"/>
      </rPr>
      <t xml:space="preserve">PB</t>
    </r>
  </si>
  <si>
    <t xml:space="preserve">0803267</t>
  </si>
  <si>
    <t xml:space="preserve">플레플레</t>
  </si>
  <si>
    <t xml:space="preserve">IC003367</t>
  </si>
  <si>
    <t xml:space="preserve">플레플레 기획전</t>
  </si>
  <si>
    <t xml:space="preserve">0807497</t>
  </si>
  <si>
    <t xml:space="preserve">학산문화사</t>
  </si>
  <si>
    <t xml:space="preserve">IC007597</t>
  </si>
  <si>
    <t xml:space="preserve">학산문화사 정품</t>
  </si>
  <si>
    <t xml:space="preserve">0817135</t>
  </si>
  <si>
    <t xml:space="preserve">해피썬</t>
  </si>
  <si>
    <t xml:space="preserve">IC007235</t>
  </si>
  <si>
    <t xml:space="preserve">해피썬 특가</t>
  </si>
  <si>
    <t xml:space="preserve">0803144</t>
  </si>
  <si>
    <t xml:space="preserve">씨케이세일즈</t>
  </si>
  <si>
    <t xml:space="preserve">IC003244</t>
  </si>
  <si>
    <t xml:space="preserve">씨케이세일즈 대표상품</t>
  </si>
  <si>
    <t xml:space="preserve">0803527</t>
  </si>
  <si>
    <t xml:space="preserve">프론티어통상</t>
  </si>
  <si>
    <t xml:space="preserve">IC003627</t>
  </si>
  <si>
    <t xml:space="preserve">프론티어통상 일반</t>
  </si>
  <si>
    <t xml:space="preserve">0803255</t>
  </si>
  <si>
    <t xml:space="preserve">모닝글로리</t>
  </si>
  <si>
    <t xml:space="preserve">IC003355</t>
  </si>
  <si>
    <t xml:space="preserve">모닝글로리 문구행사</t>
  </si>
  <si>
    <t xml:space="preserve">0803158</t>
  </si>
  <si>
    <t xml:space="preserve">바이풀디자인</t>
  </si>
  <si>
    <t xml:space="preserve">IC003258</t>
  </si>
  <si>
    <t xml:space="preserve">바이풀디자인 증정</t>
  </si>
  <si>
    <t xml:space="preserve">0816796</t>
  </si>
  <si>
    <t xml:space="preserve">마이누</t>
  </si>
  <si>
    <t xml:space="preserve">IC006896</t>
  </si>
  <si>
    <t xml:space="preserve">마이누 리미티드</t>
  </si>
  <si>
    <t xml:space="preserve">0816312</t>
  </si>
  <si>
    <t xml:space="preserve">엠젯패밀리</t>
  </si>
  <si>
    <t xml:space="preserve">IC006412</t>
  </si>
  <si>
    <t xml:space="preserve">엠젯패밀리 대표상품</t>
  </si>
  <si>
    <t xml:space="preserve">0806798</t>
  </si>
  <si>
    <t xml:space="preserve">이가라인유통</t>
  </si>
  <si>
    <t xml:space="preserve">IC006898</t>
  </si>
  <si>
    <r>
      <rPr>
        <sz val="10"/>
        <rFont val="Noto Sans CJK SC"/>
        <family val="2"/>
      </rPr>
      <t xml:space="preserve">이가라인유통 </t>
    </r>
    <r>
      <rPr>
        <sz val="10"/>
        <rFont val="맑은 고딕"/>
        <family val="0"/>
        <charset val="1"/>
      </rPr>
      <t xml:space="preserve">PB</t>
    </r>
  </si>
  <si>
    <t xml:space="preserve">0816166</t>
  </si>
  <si>
    <t xml:space="preserve">해밀</t>
  </si>
  <si>
    <t xml:space="preserve">IC006266</t>
  </si>
  <si>
    <t xml:space="preserve">해밀 특가</t>
  </si>
  <si>
    <t xml:space="preserve">0807481</t>
  </si>
  <si>
    <t xml:space="preserve">골드디자인</t>
  </si>
  <si>
    <t xml:space="preserve">IC007581</t>
  </si>
  <si>
    <t xml:space="preserve">골드디자인 증정</t>
  </si>
  <si>
    <t xml:space="preserve">0800334</t>
  </si>
  <si>
    <t xml:space="preserve">아이비스코리아</t>
  </si>
  <si>
    <t xml:space="preserve">IC000434</t>
  </si>
  <si>
    <r>
      <rPr>
        <sz val="10"/>
        <rFont val="Noto Sans CJK SC"/>
        <family val="2"/>
      </rPr>
      <t xml:space="preserve">아이비스코리아 </t>
    </r>
    <r>
      <rPr>
        <sz val="10"/>
        <rFont val="맑은 고딕"/>
        <family val="0"/>
        <charset val="1"/>
      </rPr>
      <t xml:space="preserve">PB</t>
    </r>
  </si>
  <si>
    <t xml:space="preserve">0803080</t>
  </si>
  <si>
    <t xml:space="preserve">위드에버상사</t>
  </si>
  <si>
    <t xml:space="preserve">IC003180</t>
  </si>
  <si>
    <t xml:space="preserve">위드에버상사 대표상품</t>
  </si>
  <si>
    <t xml:space="preserve">음반</t>
  </si>
  <si>
    <t xml:space="preserve">01B0470</t>
  </si>
  <si>
    <t xml:space="preserve">드림어스컴퍼니</t>
  </si>
  <si>
    <t xml:space="preserve">IB014700</t>
  </si>
  <si>
    <t xml:space="preserve">드림어스컴퍼니 음반</t>
  </si>
  <si>
    <t xml:space="preserve">01B0478</t>
  </si>
  <si>
    <t xml:space="preserve">와이지플러스</t>
  </si>
  <si>
    <t xml:space="preserve">IB014780</t>
  </si>
  <si>
    <t xml:space="preserve">와이지플러스 음반</t>
  </si>
  <si>
    <t xml:space="preserve">01B0504</t>
  </si>
  <si>
    <t xml:space="preserve">카카오엔터테인먼트</t>
  </si>
  <si>
    <t xml:space="preserve">IB015040</t>
  </si>
  <si>
    <t xml:space="preserve">카카오엔터 음반</t>
  </si>
  <si>
    <t xml:space="preserve">특정매입</t>
  </si>
  <si>
    <t xml:space="preserve">0803124</t>
  </si>
  <si>
    <r>
      <rPr>
        <sz val="10"/>
        <rFont val="Noto Sans CJK SC"/>
        <family val="2"/>
      </rPr>
      <t xml:space="preserve">아톰상사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특정매입</t>
    </r>
    <r>
      <rPr>
        <sz val="10"/>
        <rFont val="맑은 고딕"/>
        <family val="0"/>
        <charset val="1"/>
      </rPr>
      <t xml:space="preserve">)</t>
    </r>
  </si>
  <si>
    <t xml:space="preserve">IC031240</t>
  </si>
  <si>
    <r>
      <rPr>
        <sz val="10"/>
        <rFont val="Noto Sans CJK SC"/>
        <family val="2"/>
      </rPr>
      <t xml:space="preserve">아톰상사 </t>
    </r>
    <r>
      <rPr>
        <sz val="10"/>
        <rFont val="맑은 고딕"/>
        <family val="0"/>
        <charset val="1"/>
      </rPr>
      <t xml:space="preserve">APICA</t>
    </r>
  </si>
  <si>
    <t xml:space="preserve">0803833</t>
  </si>
  <si>
    <r>
      <rPr>
        <sz val="10"/>
        <rFont val="Noto Sans CJK SC"/>
        <family val="2"/>
      </rPr>
      <t xml:space="preserve">모나미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특정매입</t>
    </r>
    <r>
      <rPr>
        <sz val="10"/>
        <rFont val="맑은 고딕"/>
        <family val="0"/>
        <charset val="1"/>
      </rPr>
      <t xml:space="preserve">)</t>
    </r>
  </si>
  <si>
    <t xml:space="preserve">IC038330</t>
  </si>
  <si>
    <t xml:space="preserve">모나미 특정</t>
  </si>
  <si>
    <t xml:space="preserve">해외문구</t>
  </si>
  <si>
    <t xml:space="preserve">0900216</t>
  </si>
  <si>
    <t xml:space="preserve">LEUCHTTURM</t>
  </si>
  <si>
    <t xml:space="preserve">IC902160</t>
  </si>
  <si>
    <r>
      <rPr>
        <sz val="10"/>
        <rFont val="맑은 고딕"/>
        <family val="0"/>
        <charset val="1"/>
      </rPr>
      <t xml:space="preserve">LEUCHTTURM </t>
    </r>
    <r>
      <rPr>
        <sz val="10"/>
        <rFont val="Noto Sans CJK SC"/>
        <family val="2"/>
      </rPr>
      <t xml:space="preserve">기본</t>
    </r>
  </si>
  <si>
    <t xml:space="preserve">0900224</t>
  </si>
  <si>
    <t xml:space="preserve">LIHIT LAB.,INC</t>
  </si>
  <si>
    <t xml:space="preserve">IC902240</t>
  </si>
  <si>
    <r>
      <rPr>
        <sz val="10"/>
        <rFont val="맑은 고딕"/>
        <family val="0"/>
        <charset val="1"/>
      </rPr>
      <t xml:space="preserve">LIHIT LAB </t>
    </r>
    <r>
      <rPr>
        <sz val="10"/>
        <rFont val="Noto Sans CJK SC"/>
        <family val="2"/>
      </rPr>
      <t xml:space="preserve">기본</t>
    </r>
  </si>
  <si>
    <t xml:space="preserve">0900252</t>
  </si>
  <si>
    <t xml:space="preserve">HIGHTIDE CO.,LTD</t>
  </si>
  <si>
    <t xml:space="preserve">IC902520</t>
  </si>
  <si>
    <r>
      <rPr>
        <sz val="10"/>
        <rFont val="맑은 고딕"/>
        <family val="0"/>
        <charset val="1"/>
      </rPr>
      <t xml:space="preserve">HIGHTIDE </t>
    </r>
    <r>
      <rPr>
        <sz val="10"/>
        <rFont val="Noto Sans CJK SC"/>
        <family val="2"/>
      </rPr>
      <t xml:space="preserve">기본</t>
    </r>
  </si>
  <si>
    <t xml:space="preserve">광화문점
매출</t>
  </si>
  <si>
    <t xml:space="preserve">광화문점
매출제외</t>
  </si>
  <si>
    <t xml:space="preserve">강남점
매출</t>
  </si>
  <si>
    <t xml:space="preserve">강남점
매출제외</t>
  </si>
  <si>
    <t xml:space="preserve">잠실점
매출</t>
  </si>
  <si>
    <t xml:space="preserve">잠실점
매출제외</t>
  </si>
  <si>
    <t xml:space="preserve">부산점
매출</t>
  </si>
  <si>
    <t xml:space="preserve">부산점
매출제외</t>
  </si>
  <si>
    <t xml:space="preserve">창원점
매출</t>
  </si>
  <si>
    <t xml:space="preserve">창원점
매출제외</t>
  </si>
  <si>
    <t xml:space="preserve">전점 합계</t>
  </si>
  <si>
    <t xml:space="preserve">합계</t>
  </si>
  <si>
    <t xml:space="preserve">순위</t>
  </si>
  <si>
    <t xml:space="preserve">매출금액</t>
  </si>
  <si>
    <t xml:space="preserve">매출제외금액</t>
  </si>
  <si>
    <t xml:space="preserve">최종매출금액</t>
  </si>
  <si>
    <r>
      <rPr>
        <b val="true"/>
        <sz val="11"/>
        <color rgb="FFFFFFFF"/>
        <rFont val="Noto Sans CJK SC"/>
        <family val="2"/>
      </rPr>
      <t xml:space="preserve">점유율</t>
    </r>
    <r>
      <rPr>
        <b val="true"/>
        <sz val="11"/>
        <color rgb="FFFFFFFF"/>
        <rFont val="맑은 고딕"/>
        <family val="0"/>
        <charset val="1"/>
      </rPr>
      <t xml:space="preserve">(%)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</si>
</sst>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(#,##0\);\-"/>
    <numFmt numFmtId="166" formatCode="#,##0"/>
    <numFmt numFmtId="167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1"/>
      <name val="Noto Sans CJK SC"/>
      <family val="2"/>
    </font>
    <font>
      <b val="true"/>
      <sz val="11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CE7F3"/>
        <bgColor rgb="FFFEE2E2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FCE7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D1FAE5"/>
      <rgbColor rgb="FFFFFF99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3" t="n">
        <v>1</v>
      </c>
      <c r="B2" s="4" t="s">
        <v>6</v>
      </c>
      <c r="C2" s="3" t="s">
        <v>7</v>
      </c>
      <c r="D2" s="5" t="s">
        <v>8</v>
      </c>
      <c r="E2" s="3" t="s">
        <v>9</v>
      </c>
      <c r="F2" s="5" t="s">
        <v>10</v>
      </c>
    </row>
    <row r="3" customFormat="false" ht="15" hidden="false" customHeight="false" outlineLevel="0" collapsed="false">
      <c r="A3" s="3" t="n">
        <v>2</v>
      </c>
      <c r="B3" s="4" t="s">
        <v>6</v>
      </c>
      <c r="C3" s="3" t="s">
        <v>11</v>
      </c>
      <c r="D3" s="6" t="s">
        <v>12</v>
      </c>
      <c r="E3" s="3" t="s">
        <v>13</v>
      </c>
      <c r="F3" s="6" t="s">
        <v>14</v>
      </c>
    </row>
    <row r="4" customFormat="false" ht="15" hidden="false" customHeight="false" outlineLevel="0" collapsed="false">
      <c r="A4" s="3" t="n">
        <v>3</v>
      </c>
      <c r="B4" s="4" t="s">
        <v>6</v>
      </c>
      <c r="C4" s="3" t="s">
        <v>15</v>
      </c>
      <c r="D4" s="6" t="s">
        <v>16</v>
      </c>
      <c r="E4" s="3" t="s">
        <v>17</v>
      </c>
      <c r="F4" s="6" t="s">
        <v>18</v>
      </c>
    </row>
    <row r="5" customFormat="false" ht="15" hidden="false" customHeight="false" outlineLevel="0" collapsed="false">
      <c r="A5" s="3" t="n">
        <v>4</v>
      </c>
      <c r="B5" s="4" t="s">
        <v>6</v>
      </c>
      <c r="C5" s="3" t="s">
        <v>19</v>
      </c>
      <c r="D5" s="6" t="s">
        <v>20</v>
      </c>
      <c r="E5" s="3" t="s">
        <v>21</v>
      </c>
      <c r="F5" s="6" t="s">
        <v>22</v>
      </c>
    </row>
    <row r="6" customFormat="false" ht="15" hidden="false" customHeight="false" outlineLevel="0" collapsed="false">
      <c r="A6" s="3" t="n">
        <v>5</v>
      </c>
      <c r="B6" s="4" t="s">
        <v>6</v>
      </c>
      <c r="C6" s="3" t="s">
        <v>23</v>
      </c>
      <c r="D6" s="6" t="s">
        <v>24</v>
      </c>
      <c r="E6" s="3" t="s">
        <v>25</v>
      </c>
      <c r="F6" s="6" t="s">
        <v>26</v>
      </c>
    </row>
    <row r="7" customFormat="false" ht="15" hidden="false" customHeight="false" outlineLevel="0" collapsed="false">
      <c r="A7" s="3" t="n">
        <v>6</v>
      </c>
      <c r="B7" s="4" t="s">
        <v>6</v>
      </c>
      <c r="C7" s="3" t="s">
        <v>27</v>
      </c>
      <c r="D7" s="6" t="s">
        <v>28</v>
      </c>
      <c r="E7" s="3" t="s">
        <v>29</v>
      </c>
      <c r="F7" s="6" t="s">
        <v>30</v>
      </c>
    </row>
    <row r="8" customFormat="false" ht="15" hidden="false" customHeight="false" outlineLevel="0" collapsed="false">
      <c r="A8" s="3" t="n">
        <v>7</v>
      </c>
      <c r="B8" s="4" t="s">
        <v>6</v>
      </c>
      <c r="C8" s="3" t="s">
        <v>31</v>
      </c>
      <c r="D8" s="6" t="s">
        <v>32</v>
      </c>
      <c r="E8" s="3" t="s">
        <v>33</v>
      </c>
      <c r="F8" s="6" t="s">
        <v>34</v>
      </c>
    </row>
    <row r="9" customFormat="false" ht="15" hidden="false" customHeight="false" outlineLevel="0" collapsed="false">
      <c r="A9" s="3" t="n">
        <v>8</v>
      </c>
      <c r="B9" s="4" t="s">
        <v>6</v>
      </c>
      <c r="C9" s="3" t="s">
        <v>35</v>
      </c>
      <c r="D9" s="6" t="s">
        <v>36</v>
      </c>
      <c r="E9" s="3" t="s">
        <v>37</v>
      </c>
      <c r="F9" s="6" t="s">
        <v>38</v>
      </c>
    </row>
    <row r="10" customFormat="false" ht="15" hidden="false" customHeight="false" outlineLevel="0" collapsed="false">
      <c r="A10" s="3" t="n">
        <v>9</v>
      </c>
      <c r="B10" s="4" t="s">
        <v>6</v>
      </c>
      <c r="C10" s="3" t="s">
        <v>39</v>
      </c>
      <c r="D10" s="6" t="s">
        <v>40</v>
      </c>
      <c r="E10" s="3" t="s">
        <v>41</v>
      </c>
      <c r="F10" s="6" t="s">
        <v>42</v>
      </c>
    </row>
    <row r="11" customFormat="false" ht="15" hidden="false" customHeight="false" outlineLevel="0" collapsed="false">
      <c r="A11" s="3" t="n">
        <v>10</v>
      </c>
      <c r="B11" s="4" t="s">
        <v>6</v>
      </c>
      <c r="C11" s="3" t="s">
        <v>43</v>
      </c>
      <c r="D11" s="6" t="s">
        <v>44</v>
      </c>
      <c r="E11" s="3" t="s">
        <v>45</v>
      </c>
      <c r="F11" s="6" t="s">
        <v>46</v>
      </c>
    </row>
    <row r="12" customFormat="false" ht="15" hidden="false" customHeight="false" outlineLevel="0" collapsed="false">
      <c r="A12" s="3" t="n">
        <v>11</v>
      </c>
      <c r="B12" s="4" t="s">
        <v>6</v>
      </c>
      <c r="C12" s="3" t="s">
        <v>47</v>
      </c>
      <c r="D12" s="6" t="s">
        <v>48</v>
      </c>
      <c r="E12" s="3" t="s">
        <v>49</v>
      </c>
      <c r="F12" s="6" t="s">
        <v>50</v>
      </c>
    </row>
    <row r="13" customFormat="false" ht="15" hidden="false" customHeight="false" outlineLevel="0" collapsed="false">
      <c r="A13" s="3" t="n">
        <v>12</v>
      </c>
      <c r="B13" s="4" t="s">
        <v>6</v>
      </c>
      <c r="C13" s="3" t="s">
        <v>51</v>
      </c>
      <c r="D13" s="6" t="s">
        <v>52</v>
      </c>
      <c r="E13" s="3" t="s">
        <v>53</v>
      </c>
      <c r="F13" s="6" t="s">
        <v>54</v>
      </c>
    </row>
    <row r="14" customFormat="false" ht="15" hidden="false" customHeight="false" outlineLevel="0" collapsed="false">
      <c r="A14" s="3" t="n">
        <v>13</v>
      </c>
      <c r="B14" s="4" t="s">
        <v>6</v>
      </c>
      <c r="C14" s="3" t="s">
        <v>55</v>
      </c>
      <c r="D14" s="6" t="s">
        <v>56</v>
      </c>
      <c r="E14" s="3" t="s">
        <v>57</v>
      </c>
      <c r="F14" s="6" t="s">
        <v>58</v>
      </c>
    </row>
    <row r="15" customFormat="false" ht="15" hidden="false" customHeight="false" outlineLevel="0" collapsed="false">
      <c r="A15" s="3" t="n">
        <v>14</v>
      </c>
      <c r="B15" s="4" t="s">
        <v>6</v>
      </c>
      <c r="C15" s="3" t="s">
        <v>59</v>
      </c>
      <c r="D15" s="6" t="s">
        <v>60</v>
      </c>
      <c r="E15" s="3" t="s">
        <v>61</v>
      </c>
      <c r="F15" s="6" t="s">
        <v>62</v>
      </c>
    </row>
    <row r="16" customFormat="false" ht="15" hidden="false" customHeight="false" outlineLevel="0" collapsed="false">
      <c r="A16" s="3" t="n">
        <v>15</v>
      </c>
      <c r="B16" s="4" t="s">
        <v>6</v>
      </c>
      <c r="C16" s="3" t="s">
        <v>63</v>
      </c>
      <c r="D16" s="6" t="s">
        <v>64</v>
      </c>
      <c r="E16" s="3" t="s">
        <v>65</v>
      </c>
      <c r="F16" s="6" t="s">
        <v>66</v>
      </c>
    </row>
    <row r="17" customFormat="false" ht="15" hidden="false" customHeight="false" outlineLevel="0" collapsed="false">
      <c r="A17" s="3" t="n">
        <v>16</v>
      </c>
      <c r="B17" s="4" t="s">
        <v>6</v>
      </c>
      <c r="C17" s="3" t="s">
        <v>67</v>
      </c>
      <c r="D17" s="6" t="s">
        <v>68</v>
      </c>
      <c r="E17" s="3" t="s">
        <v>69</v>
      </c>
      <c r="F17" s="6" t="s">
        <v>70</v>
      </c>
    </row>
    <row r="18" customFormat="false" ht="15" hidden="false" customHeight="false" outlineLevel="0" collapsed="false">
      <c r="A18" s="3" t="n">
        <v>17</v>
      </c>
      <c r="B18" s="4" t="s">
        <v>6</v>
      </c>
      <c r="C18" s="3" t="s">
        <v>71</v>
      </c>
      <c r="D18" s="6" t="s">
        <v>72</v>
      </c>
      <c r="E18" s="3" t="s">
        <v>73</v>
      </c>
      <c r="F18" s="6" t="s">
        <v>74</v>
      </c>
    </row>
    <row r="19" customFormat="false" ht="15" hidden="false" customHeight="false" outlineLevel="0" collapsed="false">
      <c r="A19" s="3" t="n">
        <v>18</v>
      </c>
      <c r="B19" s="4" t="s">
        <v>6</v>
      </c>
      <c r="C19" s="3" t="s">
        <v>75</v>
      </c>
      <c r="D19" s="6" t="s">
        <v>76</v>
      </c>
      <c r="E19" s="3" t="s">
        <v>77</v>
      </c>
      <c r="F19" s="6" t="s">
        <v>78</v>
      </c>
    </row>
    <row r="20" customFormat="false" ht="15" hidden="false" customHeight="false" outlineLevel="0" collapsed="false">
      <c r="A20" s="3" t="n">
        <v>19</v>
      </c>
      <c r="B20" s="4" t="s">
        <v>6</v>
      </c>
      <c r="C20" s="3" t="s">
        <v>79</v>
      </c>
      <c r="D20" s="6" t="s">
        <v>80</v>
      </c>
      <c r="E20" s="3" t="s">
        <v>81</v>
      </c>
      <c r="F20" s="6" t="s">
        <v>82</v>
      </c>
    </row>
    <row r="21" customFormat="false" ht="15" hidden="false" customHeight="false" outlineLevel="0" collapsed="false">
      <c r="A21" s="3" t="n">
        <v>20</v>
      </c>
      <c r="B21" s="4" t="s">
        <v>6</v>
      </c>
      <c r="C21" s="3" t="s">
        <v>83</v>
      </c>
      <c r="D21" s="6" t="s">
        <v>84</v>
      </c>
      <c r="E21" s="3" t="s">
        <v>85</v>
      </c>
      <c r="F21" s="6" t="s">
        <v>86</v>
      </c>
    </row>
    <row r="22" customFormat="false" ht="15" hidden="false" customHeight="false" outlineLevel="0" collapsed="false">
      <c r="A22" s="3" t="n">
        <v>21</v>
      </c>
      <c r="B22" s="4" t="s">
        <v>6</v>
      </c>
      <c r="C22" s="3" t="s">
        <v>87</v>
      </c>
      <c r="D22" s="6" t="s">
        <v>88</v>
      </c>
      <c r="E22" s="3" t="s">
        <v>89</v>
      </c>
      <c r="F22" s="6" t="s">
        <v>90</v>
      </c>
    </row>
    <row r="23" customFormat="false" ht="15" hidden="false" customHeight="false" outlineLevel="0" collapsed="false">
      <c r="A23" s="3" t="n">
        <v>22</v>
      </c>
      <c r="B23" s="4" t="s">
        <v>6</v>
      </c>
      <c r="C23" s="3" t="s">
        <v>91</v>
      </c>
      <c r="D23" s="6" t="s">
        <v>92</v>
      </c>
      <c r="E23" s="3" t="s">
        <v>93</v>
      </c>
      <c r="F23" s="6" t="s">
        <v>94</v>
      </c>
    </row>
    <row r="24" customFormat="false" ht="15" hidden="false" customHeight="false" outlineLevel="0" collapsed="false">
      <c r="A24" s="3" t="n">
        <v>23</v>
      </c>
      <c r="B24" s="4" t="s">
        <v>6</v>
      </c>
      <c r="C24" s="3" t="s">
        <v>95</v>
      </c>
      <c r="D24" s="6" t="s">
        <v>96</v>
      </c>
      <c r="E24" s="3" t="s">
        <v>97</v>
      </c>
      <c r="F24" s="6" t="s">
        <v>98</v>
      </c>
    </row>
    <row r="25" customFormat="false" ht="15" hidden="false" customHeight="false" outlineLevel="0" collapsed="false">
      <c r="A25" s="3" t="n">
        <v>24</v>
      </c>
      <c r="B25" s="4" t="s">
        <v>6</v>
      </c>
      <c r="C25" s="3" t="s">
        <v>99</v>
      </c>
      <c r="D25" s="6" t="s">
        <v>100</v>
      </c>
      <c r="E25" s="3" t="s">
        <v>101</v>
      </c>
      <c r="F25" s="6" t="s">
        <v>102</v>
      </c>
    </row>
    <row r="26" customFormat="false" ht="15" hidden="false" customHeight="false" outlineLevel="0" collapsed="false">
      <c r="A26" s="3" t="n">
        <v>25</v>
      </c>
      <c r="B26" s="4" t="s">
        <v>6</v>
      </c>
      <c r="C26" s="3" t="s">
        <v>103</v>
      </c>
      <c r="D26" s="6" t="s">
        <v>104</v>
      </c>
      <c r="E26" s="3" t="s">
        <v>105</v>
      </c>
      <c r="F26" s="6" t="s">
        <v>106</v>
      </c>
    </row>
    <row r="27" customFormat="false" ht="15" hidden="false" customHeight="false" outlineLevel="0" collapsed="false">
      <c r="A27" s="3" t="n">
        <v>26</v>
      </c>
      <c r="B27" s="4" t="s">
        <v>6</v>
      </c>
      <c r="C27" s="3" t="s">
        <v>107</v>
      </c>
      <c r="D27" s="6" t="s">
        <v>108</v>
      </c>
      <c r="E27" s="3" t="s">
        <v>109</v>
      </c>
      <c r="F27" s="6" t="s">
        <v>110</v>
      </c>
    </row>
    <row r="28" customFormat="false" ht="15" hidden="false" customHeight="false" outlineLevel="0" collapsed="false">
      <c r="A28" s="3" t="n">
        <v>27</v>
      </c>
      <c r="B28" s="4" t="s">
        <v>6</v>
      </c>
      <c r="C28" s="3" t="s">
        <v>111</v>
      </c>
      <c r="D28" s="6" t="s">
        <v>112</v>
      </c>
      <c r="E28" s="3" t="s">
        <v>113</v>
      </c>
      <c r="F28" s="6" t="s">
        <v>114</v>
      </c>
    </row>
    <row r="29" customFormat="false" ht="15" hidden="false" customHeight="false" outlineLevel="0" collapsed="false">
      <c r="A29" s="3" t="n">
        <v>28</v>
      </c>
      <c r="B29" s="4" t="s">
        <v>6</v>
      </c>
      <c r="C29" s="3" t="s">
        <v>115</v>
      </c>
      <c r="D29" s="6" t="s">
        <v>116</v>
      </c>
      <c r="E29" s="3" t="s">
        <v>117</v>
      </c>
      <c r="F29" s="6" t="s">
        <v>118</v>
      </c>
    </row>
    <row r="30" customFormat="false" ht="15" hidden="false" customHeight="false" outlineLevel="0" collapsed="false">
      <c r="A30" s="3" t="n">
        <v>29</v>
      </c>
      <c r="B30" s="4" t="s">
        <v>6</v>
      </c>
      <c r="C30" s="3" t="s">
        <v>119</v>
      </c>
      <c r="D30" s="6" t="s">
        <v>120</v>
      </c>
      <c r="E30" s="3" t="s">
        <v>121</v>
      </c>
      <c r="F30" s="6" t="s">
        <v>122</v>
      </c>
    </row>
    <row r="31" customFormat="false" ht="15" hidden="false" customHeight="false" outlineLevel="0" collapsed="false">
      <c r="A31" s="3" t="n">
        <v>30</v>
      </c>
      <c r="B31" s="4" t="s">
        <v>6</v>
      </c>
      <c r="C31" s="3" t="s">
        <v>123</v>
      </c>
      <c r="D31" s="6" t="s">
        <v>124</v>
      </c>
      <c r="E31" s="3" t="s">
        <v>125</v>
      </c>
      <c r="F31" s="6" t="s">
        <v>126</v>
      </c>
    </row>
    <row r="32" customFormat="false" ht="15" hidden="false" customHeight="false" outlineLevel="0" collapsed="false">
      <c r="A32" s="3" t="n">
        <v>31</v>
      </c>
      <c r="B32" s="4" t="s">
        <v>6</v>
      </c>
      <c r="C32" s="3" t="s">
        <v>127</v>
      </c>
      <c r="D32" s="6" t="s">
        <v>128</v>
      </c>
      <c r="E32" s="3" t="s">
        <v>129</v>
      </c>
      <c r="F32" s="6" t="s">
        <v>130</v>
      </c>
    </row>
    <row r="33" customFormat="false" ht="15" hidden="false" customHeight="false" outlineLevel="0" collapsed="false">
      <c r="A33" s="3" t="n">
        <v>32</v>
      </c>
      <c r="B33" s="4" t="s">
        <v>6</v>
      </c>
      <c r="C33" s="3" t="s">
        <v>131</v>
      </c>
      <c r="D33" s="6" t="s">
        <v>132</v>
      </c>
      <c r="E33" s="3" t="s">
        <v>133</v>
      </c>
      <c r="F33" s="6" t="s">
        <v>134</v>
      </c>
    </row>
    <row r="34" customFormat="false" ht="15" hidden="false" customHeight="false" outlineLevel="0" collapsed="false">
      <c r="A34" s="3" t="n">
        <v>33</v>
      </c>
      <c r="B34" s="4" t="s">
        <v>6</v>
      </c>
      <c r="C34" s="3" t="s">
        <v>135</v>
      </c>
      <c r="D34" s="6" t="s">
        <v>136</v>
      </c>
      <c r="E34" s="3" t="s">
        <v>137</v>
      </c>
      <c r="F34" s="6" t="s">
        <v>138</v>
      </c>
    </row>
    <row r="35" customFormat="false" ht="15" hidden="false" customHeight="false" outlineLevel="0" collapsed="false">
      <c r="A35" s="3" t="n">
        <v>34</v>
      </c>
      <c r="B35" s="4" t="s">
        <v>6</v>
      </c>
      <c r="C35" s="3" t="s">
        <v>139</v>
      </c>
      <c r="D35" s="6" t="s">
        <v>140</v>
      </c>
      <c r="E35" s="3" t="s">
        <v>141</v>
      </c>
      <c r="F35" s="6" t="s">
        <v>142</v>
      </c>
    </row>
    <row r="36" customFormat="false" ht="15" hidden="false" customHeight="false" outlineLevel="0" collapsed="false">
      <c r="A36" s="3" t="n">
        <v>35</v>
      </c>
      <c r="B36" s="4" t="s">
        <v>6</v>
      </c>
      <c r="C36" s="3" t="s">
        <v>143</v>
      </c>
      <c r="D36" s="6" t="s">
        <v>144</v>
      </c>
      <c r="E36" s="3" t="s">
        <v>145</v>
      </c>
      <c r="F36" s="6" t="s">
        <v>146</v>
      </c>
    </row>
    <row r="37" customFormat="false" ht="15" hidden="false" customHeight="false" outlineLevel="0" collapsed="false">
      <c r="A37" s="3" t="n">
        <v>36</v>
      </c>
      <c r="B37" s="4" t="s">
        <v>6</v>
      </c>
      <c r="C37" s="3" t="s">
        <v>147</v>
      </c>
      <c r="D37" s="6" t="s">
        <v>148</v>
      </c>
      <c r="E37" s="3" t="s">
        <v>149</v>
      </c>
      <c r="F37" s="6" t="s">
        <v>150</v>
      </c>
    </row>
    <row r="38" customFormat="false" ht="15" hidden="false" customHeight="false" outlineLevel="0" collapsed="false">
      <c r="A38" s="3" t="n">
        <v>37</v>
      </c>
      <c r="B38" s="4" t="s">
        <v>6</v>
      </c>
      <c r="C38" s="3" t="s">
        <v>151</v>
      </c>
      <c r="D38" s="6" t="s">
        <v>152</v>
      </c>
      <c r="E38" s="3" t="s">
        <v>153</v>
      </c>
      <c r="F38" s="6" t="s">
        <v>154</v>
      </c>
    </row>
    <row r="39" customFormat="false" ht="15" hidden="false" customHeight="false" outlineLevel="0" collapsed="false">
      <c r="A39" s="3" t="n">
        <v>38</v>
      </c>
      <c r="B39" s="4" t="s">
        <v>6</v>
      </c>
      <c r="C39" s="3" t="s">
        <v>155</v>
      </c>
      <c r="D39" s="6" t="s">
        <v>156</v>
      </c>
      <c r="E39" s="3" t="s">
        <v>157</v>
      </c>
      <c r="F39" s="6" t="s">
        <v>158</v>
      </c>
    </row>
    <row r="40" customFormat="false" ht="15" hidden="false" customHeight="false" outlineLevel="0" collapsed="false">
      <c r="A40" s="3" t="n">
        <v>39</v>
      </c>
      <c r="B40" s="4" t="s">
        <v>6</v>
      </c>
      <c r="C40" s="3" t="s">
        <v>159</v>
      </c>
      <c r="D40" s="6" t="s">
        <v>160</v>
      </c>
      <c r="E40" s="3" t="s">
        <v>161</v>
      </c>
      <c r="F40" s="6" t="s">
        <v>162</v>
      </c>
    </row>
    <row r="41" customFormat="false" ht="15" hidden="false" customHeight="false" outlineLevel="0" collapsed="false">
      <c r="A41" s="3" t="n">
        <v>40</v>
      </c>
      <c r="B41" s="4" t="s">
        <v>6</v>
      </c>
      <c r="C41" s="3" t="s">
        <v>163</v>
      </c>
      <c r="D41" s="6" t="s">
        <v>164</v>
      </c>
      <c r="E41" s="3" t="s">
        <v>165</v>
      </c>
      <c r="F41" s="6" t="s">
        <v>166</v>
      </c>
    </row>
    <row r="42" customFormat="false" ht="15" hidden="false" customHeight="false" outlineLevel="0" collapsed="false">
      <c r="A42" s="3" t="n">
        <v>41</v>
      </c>
      <c r="B42" s="7" t="s">
        <v>167</v>
      </c>
      <c r="C42" s="3" t="s">
        <v>168</v>
      </c>
      <c r="D42" s="6" t="s">
        <v>169</v>
      </c>
      <c r="E42" s="3" t="s">
        <v>170</v>
      </c>
      <c r="F42" s="6" t="s">
        <v>171</v>
      </c>
    </row>
    <row r="43" customFormat="false" ht="15" hidden="false" customHeight="false" outlineLevel="0" collapsed="false">
      <c r="A43" s="3" t="n">
        <v>42</v>
      </c>
      <c r="B43" s="7" t="s">
        <v>167</v>
      </c>
      <c r="C43" s="3" t="s">
        <v>172</v>
      </c>
      <c r="D43" s="6" t="s">
        <v>173</v>
      </c>
      <c r="E43" s="3" t="s">
        <v>174</v>
      </c>
      <c r="F43" s="6" t="s">
        <v>175</v>
      </c>
    </row>
    <row r="44" customFormat="false" ht="15" hidden="false" customHeight="false" outlineLevel="0" collapsed="false">
      <c r="A44" s="3" t="n">
        <v>43</v>
      </c>
      <c r="B44" s="7" t="s">
        <v>167</v>
      </c>
      <c r="C44" s="3" t="s">
        <v>176</v>
      </c>
      <c r="D44" s="6" t="s">
        <v>177</v>
      </c>
      <c r="E44" s="3" t="s">
        <v>178</v>
      </c>
      <c r="F44" s="6" t="s">
        <v>179</v>
      </c>
    </row>
    <row r="45" customFormat="false" ht="15" hidden="false" customHeight="false" outlineLevel="0" collapsed="false">
      <c r="A45" s="3" t="n">
        <v>44</v>
      </c>
      <c r="B45" s="8" t="s">
        <v>180</v>
      </c>
      <c r="C45" s="3" t="s">
        <v>181</v>
      </c>
      <c r="D45" s="6" t="s">
        <v>182</v>
      </c>
      <c r="E45" s="3" t="s">
        <v>183</v>
      </c>
      <c r="F45" s="6" t="s">
        <v>184</v>
      </c>
    </row>
    <row r="46" customFormat="false" ht="15" hidden="false" customHeight="false" outlineLevel="0" collapsed="false">
      <c r="A46" s="3" t="n">
        <v>45</v>
      </c>
      <c r="B46" s="8" t="s">
        <v>180</v>
      </c>
      <c r="C46" s="3" t="s">
        <v>185</v>
      </c>
      <c r="D46" s="6" t="s">
        <v>186</v>
      </c>
      <c r="E46" s="3" t="s">
        <v>187</v>
      </c>
      <c r="F46" s="6" t="s">
        <v>188</v>
      </c>
    </row>
    <row r="47" customFormat="false" ht="15" hidden="false" customHeight="false" outlineLevel="0" collapsed="false">
      <c r="A47" s="3" t="n">
        <v>46</v>
      </c>
      <c r="B47" s="9" t="s">
        <v>189</v>
      </c>
      <c r="C47" s="3" t="s">
        <v>190</v>
      </c>
      <c r="D47" s="5" t="s">
        <v>191</v>
      </c>
      <c r="E47" s="3" t="s">
        <v>192</v>
      </c>
      <c r="F47" s="5" t="s">
        <v>193</v>
      </c>
    </row>
    <row r="48" customFormat="false" ht="15" hidden="false" customHeight="false" outlineLevel="0" collapsed="false">
      <c r="A48" s="3" t="n">
        <v>47</v>
      </c>
      <c r="B48" s="9" t="s">
        <v>189</v>
      </c>
      <c r="C48" s="3" t="s">
        <v>194</v>
      </c>
      <c r="D48" s="5" t="s">
        <v>195</v>
      </c>
      <c r="E48" s="3" t="s">
        <v>196</v>
      </c>
      <c r="F48" s="5" t="s">
        <v>197</v>
      </c>
    </row>
    <row r="49" customFormat="false" ht="15" hidden="false" customHeight="false" outlineLevel="0" collapsed="false">
      <c r="A49" s="3" t="n">
        <v>48</v>
      </c>
      <c r="B49" s="9" t="s">
        <v>189</v>
      </c>
      <c r="C49" s="3" t="s">
        <v>198</v>
      </c>
      <c r="D49" s="5" t="s">
        <v>199</v>
      </c>
      <c r="E49" s="3" t="s">
        <v>200</v>
      </c>
      <c r="F49" s="5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14" min="5" style="0" width="13"/>
    <col collapsed="false" customWidth="true" hidden="false" outlineLevel="0" max="15" min="15" style="0" width="15"/>
  </cols>
  <sheetData>
    <row r="1" customFormat="false" ht="31.5" hidden="false" customHeight="true" outlineLevel="0" collapsed="false">
      <c r="A1" s="10" t="s">
        <v>0</v>
      </c>
      <c r="B1" s="11" t="s">
        <v>2</v>
      </c>
      <c r="C1" s="11" t="s">
        <v>3</v>
      </c>
      <c r="D1" s="11" t="s">
        <v>1</v>
      </c>
      <c r="E1" s="11" t="s">
        <v>202</v>
      </c>
      <c r="F1" s="11" t="s">
        <v>203</v>
      </c>
      <c r="G1" s="11" t="s">
        <v>204</v>
      </c>
      <c r="H1" s="11" t="s">
        <v>205</v>
      </c>
      <c r="I1" s="11" t="s">
        <v>206</v>
      </c>
      <c r="J1" s="11" t="s">
        <v>207</v>
      </c>
      <c r="K1" s="11" t="s">
        <v>208</v>
      </c>
      <c r="L1" s="11" t="s">
        <v>209</v>
      </c>
      <c r="M1" s="11" t="s">
        <v>210</v>
      </c>
      <c r="N1" s="11" t="s">
        <v>211</v>
      </c>
      <c r="O1" s="11" t="s">
        <v>212</v>
      </c>
    </row>
    <row r="2" customFormat="false" ht="15" hidden="false" customHeight="false" outlineLevel="0" collapsed="false">
      <c r="A2" s="3" t="n">
        <v>1</v>
      </c>
      <c r="B2" s="3" t="s">
        <v>7</v>
      </c>
      <c r="C2" s="5" t="s">
        <v>8</v>
      </c>
      <c r="D2" s="4" t="s">
        <v>6</v>
      </c>
      <c r="E2" s="12" t="n">
        <v>3030000</v>
      </c>
      <c r="F2" s="12"/>
      <c r="G2" s="12" t="n">
        <v>3940000</v>
      </c>
      <c r="H2" s="12"/>
      <c r="I2" s="12" t="n">
        <v>970000</v>
      </c>
      <c r="J2" s="13" t="n">
        <v>150000</v>
      </c>
      <c r="K2" s="12" t="n">
        <v>2710000</v>
      </c>
      <c r="L2" s="12"/>
      <c r="M2" s="12" t="n">
        <v>790000</v>
      </c>
      <c r="N2" s="12"/>
      <c r="O2" s="14" t="n">
        <f aca="false">E2+G2+I2+K2+M2</f>
        <v>11440000</v>
      </c>
    </row>
    <row r="3" customFormat="false" ht="15" hidden="false" customHeight="false" outlineLevel="0" collapsed="false">
      <c r="A3" s="3" t="n">
        <v>2</v>
      </c>
      <c r="B3" s="3" t="s">
        <v>11</v>
      </c>
      <c r="C3" s="6" t="s">
        <v>12</v>
      </c>
      <c r="D3" s="4" t="s">
        <v>6</v>
      </c>
      <c r="E3" s="12" t="n">
        <v>2950000</v>
      </c>
      <c r="F3" s="12"/>
      <c r="G3" s="12" t="n">
        <v>3890000</v>
      </c>
      <c r="H3" s="12"/>
      <c r="I3" s="12" t="n">
        <v>1010000</v>
      </c>
      <c r="J3" s="13" t="n">
        <v>150000</v>
      </c>
      <c r="K3" s="12" t="n">
        <v>2670000</v>
      </c>
      <c r="L3" s="12"/>
      <c r="M3" s="12" t="n">
        <v>810000</v>
      </c>
      <c r="N3" s="12"/>
      <c r="O3" s="14" t="n">
        <f aca="false">E3+G3+I3+K3+M3</f>
        <v>11330000</v>
      </c>
    </row>
    <row r="4" customFormat="false" ht="15" hidden="false" customHeight="false" outlineLevel="0" collapsed="false">
      <c r="A4" s="3" t="n">
        <v>3</v>
      </c>
      <c r="B4" s="3" t="s">
        <v>15</v>
      </c>
      <c r="C4" s="6" t="s">
        <v>16</v>
      </c>
      <c r="D4" s="4" t="s">
        <v>6</v>
      </c>
      <c r="E4" s="12" t="n">
        <v>2520000</v>
      </c>
      <c r="F4" s="12"/>
      <c r="G4" s="12" t="n">
        <v>3570000</v>
      </c>
      <c r="H4" s="12"/>
      <c r="I4" s="12" t="n">
        <v>1200000</v>
      </c>
      <c r="J4" s="12"/>
      <c r="K4" s="12" t="n">
        <v>2440000</v>
      </c>
      <c r="L4" s="13" t="n">
        <v>370000</v>
      </c>
      <c r="M4" s="12" t="n">
        <v>940000</v>
      </c>
      <c r="N4" s="12"/>
      <c r="O4" s="14" t="n">
        <f aca="false">E4+G4+I4+K4+M4</f>
        <v>10670000</v>
      </c>
    </row>
    <row r="5" customFormat="false" ht="15" hidden="false" customHeight="false" outlineLevel="0" collapsed="false">
      <c r="A5" s="3" t="n">
        <v>4</v>
      </c>
      <c r="B5" s="3" t="s">
        <v>19</v>
      </c>
      <c r="C5" s="6" t="s">
        <v>20</v>
      </c>
      <c r="D5" s="4" t="s">
        <v>6</v>
      </c>
      <c r="E5" s="12" t="n">
        <v>2670000</v>
      </c>
      <c r="F5" s="12"/>
      <c r="G5" s="12" t="n">
        <v>3680000</v>
      </c>
      <c r="H5" s="12"/>
      <c r="I5" s="12" t="n">
        <v>1130000</v>
      </c>
      <c r="J5" s="12"/>
      <c r="K5" s="12" t="n">
        <v>2520000</v>
      </c>
      <c r="L5" s="12"/>
      <c r="M5" s="12" t="n">
        <v>900000</v>
      </c>
      <c r="N5" s="12"/>
      <c r="O5" s="14" t="n">
        <f aca="false">E5+G5+I5+K5+M5</f>
        <v>10900000</v>
      </c>
    </row>
    <row r="6" customFormat="false" ht="15" hidden="false" customHeight="false" outlineLevel="0" collapsed="false">
      <c r="A6" s="3" t="n">
        <v>5</v>
      </c>
      <c r="B6" s="3" t="s">
        <v>23</v>
      </c>
      <c r="C6" s="6" t="s">
        <v>24</v>
      </c>
      <c r="D6" s="4" t="s">
        <v>6</v>
      </c>
      <c r="E6" s="12" t="n">
        <v>4820000</v>
      </c>
      <c r="F6" s="12"/>
      <c r="G6" s="12" t="n">
        <v>1540000</v>
      </c>
      <c r="H6" s="12"/>
      <c r="I6" s="12" t="n">
        <v>2410000</v>
      </c>
      <c r="J6" s="12"/>
      <c r="K6" s="12" t="n">
        <v>950000</v>
      </c>
      <c r="L6" s="13" t="n">
        <v>140000</v>
      </c>
      <c r="M6" s="12" t="n">
        <v>250000</v>
      </c>
      <c r="N6" s="12"/>
      <c r="O6" s="14" t="n">
        <f aca="false">E6+G6+I6+K6+M6</f>
        <v>9970000</v>
      </c>
    </row>
    <row r="7" customFormat="false" ht="15" hidden="false" customHeight="false" outlineLevel="0" collapsed="false">
      <c r="A7" s="3" t="n">
        <v>6</v>
      </c>
      <c r="B7" s="3" t="s">
        <v>27</v>
      </c>
      <c r="C7" s="6" t="s">
        <v>28</v>
      </c>
      <c r="D7" s="4" t="s">
        <v>6</v>
      </c>
      <c r="E7" s="12" t="n">
        <v>2200000</v>
      </c>
      <c r="F7" s="12"/>
      <c r="G7" s="12" t="n">
        <v>3320000</v>
      </c>
      <c r="H7" s="12"/>
      <c r="I7" s="12" t="n">
        <v>1350000</v>
      </c>
      <c r="J7" s="12"/>
      <c r="K7" s="12" t="n">
        <v>2260000</v>
      </c>
      <c r="L7" s="13" t="n">
        <v>340000</v>
      </c>
      <c r="M7" s="12" t="n">
        <v>1040000</v>
      </c>
      <c r="N7" s="12"/>
      <c r="O7" s="14" t="n">
        <f aca="false">E7+G7+I7+K7+M7</f>
        <v>10170000</v>
      </c>
    </row>
    <row r="8" customFormat="false" ht="15" hidden="false" customHeight="false" outlineLevel="0" collapsed="false">
      <c r="A8" s="3" t="n">
        <v>7</v>
      </c>
      <c r="B8" s="3" t="s">
        <v>31</v>
      </c>
      <c r="C8" s="6" t="s">
        <v>32</v>
      </c>
      <c r="D8" s="4" t="s">
        <v>6</v>
      </c>
      <c r="E8" s="12" t="n">
        <v>680000</v>
      </c>
      <c r="F8" s="13" t="n">
        <v>100000</v>
      </c>
      <c r="G8" s="12" t="n">
        <v>2180000</v>
      </c>
      <c r="H8" s="12"/>
      <c r="I8" s="12" t="n">
        <v>2030000</v>
      </c>
      <c r="J8" s="12"/>
      <c r="K8" s="12" t="n">
        <v>1420000</v>
      </c>
      <c r="L8" s="12"/>
      <c r="M8" s="12" t="n">
        <v>1490000</v>
      </c>
      <c r="N8" s="12"/>
      <c r="O8" s="14" t="n">
        <f aca="false">E8+G8+I8+K8+M8</f>
        <v>7800000</v>
      </c>
    </row>
    <row r="9" customFormat="false" ht="15" hidden="false" customHeight="false" outlineLevel="0" collapsed="false">
      <c r="A9" s="3" t="n">
        <v>8</v>
      </c>
      <c r="B9" s="3" t="s">
        <v>35</v>
      </c>
      <c r="C9" s="6" t="s">
        <v>36</v>
      </c>
      <c r="D9" s="4" t="s">
        <v>6</v>
      </c>
      <c r="E9" s="12" t="n">
        <v>2300000</v>
      </c>
      <c r="F9" s="12"/>
      <c r="G9" s="12" t="n">
        <v>3400000</v>
      </c>
      <c r="H9" s="12"/>
      <c r="I9" s="12" t="n">
        <v>1300000</v>
      </c>
      <c r="J9" s="12"/>
      <c r="K9" s="12" t="n">
        <v>2320000</v>
      </c>
      <c r="L9" s="12"/>
      <c r="M9" s="12" t="n">
        <v>1010000</v>
      </c>
      <c r="N9" s="12"/>
      <c r="O9" s="14" t="n">
        <f aca="false">E9+G9+I9+K9+M9</f>
        <v>10330000</v>
      </c>
    </row>
    <row r="10" customFormat="false" ht="15" hidden="false" customHeight="false" outlineLevel="0" collapsed="false">
      <c r="A10" s="3" t="n">
        <v>9</v>
      </c>
      <c r="B10" s="3" t="s">
        <v>39</v>
      </c>
      <c r="C10" s="6" t="s">
        <v>40</v>
      </c>
      <c r="D10" s="4" t="s">
        <v>6</v>
      </c>
      <c r="E10" s="12" t="n">
        <v>4120000</v>
      </c>
      <c r="F10" s="12"/>
      <c r="G10" s="12" t="n">
        <v>1010000</v>
      </c>
      <c r="H10" s="12"/>
      <c r="I10" s="12" t="n">
        <v>480000</v>
      </c>
      <c r="J10" s="12"/>
      <c r="K10" s="12" t="n">
        <v>560000</v>
      </c>
      <c r="L10" s="13" t="n">
        <v>80000</v>
      </c>
      <c r="M10" s="12" t="n">
        <v>460000</v>
      </c>
      <c r="N10" s="12"/>
      <c r="O10" s="14" t="n">
        <f aca="false">E10+G10+I10+K10+M10</f>
        <v>6630000</v>
      </c>
    </row>
    <row r="11" customFormat="false" ht="15" hidden="false" customHeight="false" outlineLevel="0" collapsed="false">
      <c r="A11" s="3" t="n">
        <v>10</v>
      </c>
      <c r="B11" s="3" t="s">
        <v>43</v>
      </c>
      <c r="C11" s="6" t="s">
        <v>44</v>
      </c>
      <c r="D11" s="4" t="s">
        <v>6</v>
      </c>
      <c r="E11" s="12" t="n">
        <v>2380000</v>
      </c>
      <c r="F11" s="12"/>
      <c r="G11" s="12" t="n">
        <v>3460000</v>
      </c>
      <c r="H11" s="12"/>
      <c r="I11" s="12" t="n">
        <v>1260000</v>
      </c>
      <c r="J11" s="12"/>
      <c r="K11" s="12" t="n">
        <v>2360000</v>
      </c>
      <c r="L11" s="12"/>
      <c r="M11" s="12" t="n">
        <v>990000</v>
      </c>
      <c r="N11" s="12"/>
      <c r="O11" s="14" t="n">
        <f aca="false">E11+G11+I11+K11+M11</f>
        <v>10450000</v>
      </c>
    </row>
    <row r="12" customFormat="false" ht="15" hidden="false" customHeight="false" outlineLevel="0" collapsed="false">
      <c r="A12" s="3" t="n">
        <v>11</v>
      </c>
      <c r="B12" s="3" t="s">
        <v>47</v>
      </c>
      <c r="C12" s="6" t="s">
        <v>48</v>
      </c>
      <c r="D12" s="4" t="s">
        <v>6</v>
      </c>
      <c r="E12" s="12" t="n">
        <v>4050000</v>
      </c>
      <c r="F12" s="13" t="n">
        <v>610000</v>
      </c>
      <c r="G12" s="12" t="n">
        <v>960000</v>
      </c>
      <c r="H12" s="12"/>
      <c r="I12" s="12" t="n">
        <v>510000</v>
      </c>
      <c r="J12" s="12"/>
      <c r="K12" s="12" t="n">
        <v>530000</v>
      </c>
      <c r="L12" s="12"/>
      <c r="M12" s="12" t="n">
        <v>480000</v>
      </c>
      <c r="N12" s="12"/>
      <c r="O12" s="14" t="n">
        <f aca="false">E12+G12+I12+K12+M12</f>
        <v>6530000</v>
      </c>
    </row>
    <row r="13" customFormat="false" ht="15" hidden="false" customHeight="false" outlineLevel="0" collapsed="false">
      <c r="A13" s="3" t="n">
        <v>12</v>
      </c>
      <c r="B13" s="3" t="s">
        <v>51</v>
      </c>
      <c r="C13" s="6" t="s">
        <v>52</v>
      </c>
      <c r="D13" s="4" t="s">
        <v>6</v>
      </c>
      <c r="E13" s="12" t="n">
        <v>2570000</v>
      </c>
      <c r="F13" s="12"/>
      <c r="G13" s="12" t="n">
        <v>3600000</v>
      </c>
      <c r="H13" s="12"/>
      <c r="I13" s="12" t="n">
        <v>1180000</v>
      </c>
      <c r="J13" s="12"/>
      <c r="K13" s="12" t="n">
        <v>2460000</v>
      </c>
      <c r="L13" s="13" t="n">
        <v>370000</v>
      </c>
      <c r="M13" s="12" t="n">
        <v>930000</v>
      </c>
      <c r="N13" s="12"/>
      <c r="O13" s="14" t="n">
        <f aca="false">E13+G13+I13+K13+M13</f>
        <v>10740000</v>
      </c>
    </row>
    <row r="14" customFormat="false" ht="15" hidden="false" customHeight="false" outlineLevel="0" collapsed="false">
      <c r="A14" s="3" t="n">
        <v>13</v>
      </c>
      <c r="B14" s="3" t="s">
        <v>55</v>
      </c>
      <c r="C14" s="6" t="s">
        <v>56</v>
      </c>
      <c r="D14" s="4" t="s">
        <v>6</v>
      </c>
      <c r="E14" s="12" t="n">
        <v>5140000</v>
      </c>
      <c r="F14" s="12"/>
      <c r="G14" s="12" t="n">
        <v>1780000</v>
      </c>
      <c r="H14" s="12"/>
      <c r="I14" s="12" t="n">
        <v>2270000</v>
      </c>
      <c r="J14" s="12"/>
      <c r="K14" s="12" t="n">
        <v>1120000</v>
      </c>
      <c r="L14" s="12"/>
      <c r="M14" s="12" t="n">
        <v>160000</v>
      </c>
      <c r="N14" s="12"/>
      <c r="O14" s="14" t="n">
        <f aca="false">E14+G14+I14+K14+M14</f>
        <v>10470000</v>
      </c>
    </row>
    <row r="15" customFormat="false" ht="15" hidden="false" customHeight="false" outlineLevel="0" collapsed="false">
      <c r="A15" s="3" t="n">
        <v>14</v>
      </c>
      <c r="B15" s="3" t="s">
        <v>59</v>
      </c>
      <c r="C15" s="6" t="s">
        <v>60</v>
      </c>
      <c r="D15" s="4" t="s">
        <v>6</v>
      </c>
      <c r="E15" s="12" t="n">
        <v>980000</v>
      </c>
      <c r="F15" s="12"/>
      <c r="G15" s="12" t="n">
        <v>2410000</v>
      </c>
      <c r="H15" s="12"/>
      <c r="I15" s="12" t="n">
        <v>1890000</v>
      </c>
      <c r="J15" s="12"/>
      <c r="K15" s="12" t="n">
        <v>1590000</v>
      </c>
      <c r="L15" s="13" t="n">
        <v>240000</v>
      </c>
      <c r="M15" s="12" t="n">
        <v>1410000</v>
      </c>
      <c r="N15" s="12"/>
      <c r="O15" s="14" t="n">
        <f aca="false">E15+G15+I15+K15+M15</f>
        <v>8280000</v>
      </c>
    </row>
    <row r="16" customFormat="false" ht="15" hidden="false" customHeight="false" outlineLevel="0" collapsed="false">
      <c r="A16" s="3" t="n">
        <v>15</v>
      </c>
      <c r="B16" s="3" t="s">
        <v>63</v>
      </c>
      <c r="C16" s="6" t="s">
        <v>64</v>
      </c>
      <c r="D16" s="4" t="s">
        <v>6</v>
      </c>
      <c r="E16" s="12" t="n">
        <v>2230000</v>
      </c>
      <c r="F16" s="12"/>
      <c r="G16" s="12" t="n">
        <v>3340000</v>
      </c>
      <c r="H16" s="12"/>
      <c r="I16" s="12" t="n">
        <v>1330000</v>
      </c>
      <c r="J16" s="12"/>
      <c r="K16" s="12" t="n">
        <v>2270000</v>
      </c>
      <c r="L16" s="12"/>
      <c r="M16" s="12" t="n">
        <v>1030000</v>
      </c>
      <c r="N16" s="12"/>
      <c r="O16" s="14" t="n">
        <f aca="false">E16+G16+I16+K16+M16</f>
        <v>10200000</v>
      </c>
    </row>
    <row r="17" customFormat="false" ht="15" hidden="false" customHeight="false" outlineLevel="0" collapsed="false">
      <c r="A17" s="3" t="n">
        <v>16</v>
      </c>
      <c r="B17" s="3" t="s">
        <v>67</v>
      </c>
      <c r="C17" s="6" t="s">
        <v>68</v>
      </c>
      <c r="D17" s="4" t="s">
        <v>6</v>
      </c>
      <c r="E17" s="12" t="n">
        <v>5360000</v>
      </c>
      <c r="F17" s="12"/>
      <c r="G17" s="12" t="n">
        <v>1950000</v>
      </c>
      <c r="H17" s="12"/>
      <c r="I17" s="12" t="n">
        <v>2170000</v>
      </c>
      <c r="J17" s="12"/>
      <c r="K17" s="12" t="n">
        <v>1250000</v>
      </c>
      <c r="L17" s="12"/>
      <c r="M17" s="12" t="n">
        <v>1590000</v>
      </c>
      <c r="N17" s="12"/>
      <c r="O17" s="14" t="n">
        <f aca="false">E17+G17+I17+K17+M17</f>
        <v>12320000</v>
      </c>
    </row>
    <row r="18" customFormat="false" ht="15" hidden="false" customHeight="false" outlineLevel="0" collapsed="false">
      <c r="A18" s="3" t="n">
        <v>17</v>
      </c>
      <c r="B18" s="3" t="s">
        <v>71</v>
      </c>
      <c r="C18" s="6" t="s">
        <v>72</v>
      </c>
      <c r="D18" s="4" t="s">
        <v>6</v>
      </c>
      <c r="E18" s="12" t="n">
        <v>5460000</v>
      </c>
      <c r="F18" s="12"/>
      <c r="G18" s="12" t="n">
        <v>2020000</v>
      </c>
      <c r="H18" s="13" t="n">
        <v>300000</v>
      </c>
      <c r="I18" s="12" t="n">
        <v>2130000</v>
      </c>
      <c r="J18" s="12"/>
      <c r="K18" s="12" t="n">
        <v>1300000</v>
      </c>
      <c r="L18" s="12"/>
      <c r="M18" s="12" t="n">
        <v>1560000</v>
      </c>
      <c r="N18" s="13" t="n">
        <v>230000</v>
      </c>
      <c r="O18" s="14" t="n">
        <f aca="false">E18+G18+I18+K18+M18</f>
        <v>12470000</v>
      </c>
    </row>
    <row r="19" customFormat="false" ht="15" hidden="false" customHeight="false" outlineLevel="0" collapsed="false">
      <c r="A19" s="3" t="n">
        <v>18</v>
      </c>
      <c r="B19" s="3" t="s">
        <v>75</v>
      </c>
      <c r="C19" s="6" t="s">
        <v>76</v>
      </c>
      <c r="D19" s="4" t="s">
        <v>6</v>
      </c>
      <c r="E19" s="12" t="n">
        <v>850000</v>
      </c>
      <c r="F19" s="12"/>
      <c r="G19" s="12" t="n">
        <v>2310000</v>
      </c>
      <c r="H19" s="12"/>
      <c r="I19" s="12" t="n">
        <v>1950000</v>
      </c>
      <c r="J19" s="12"/>
      <c r="K19" s="12" t="n">
        <v>1510000</v>
      </c>
      <c r="L19" s="12"/>
      <c r="M19" s="12" t="n">
        <v>1450000</v>
      </c>
      <c r="N19" s="12"/>
      <c r="O19" s="14" t="n">
        <f aca="false">E19+G19+I19+K19+M19</f>
        <v>8070000</v>
      </c>
    </row>
    <row r="20" customFormat="false" ht="15" hidden="false" customHeight="false" outlineLevel="0" collapsed="false">
      <c r="A20" s="3" t="n">
        <v>19</v>
      </c>
      <c r="B20" s="3" t="s">
        <v>79</v>
      </c>
      <c r="C20" s="6" t="s">
        <v>80</v>
      </c>
      <c r="D20" s="4" t="s">
        <v>6</v>
      </c>
      <c r="E20" s="12" t="n">
        <v>890000</v>
      </c>
      <c r="F20" s="12"/>
      <c r="G20" s="12" t="n">
        <v>2340000</v>
      </c>
      <c r="H20" s="12"/>
      <c r="I20" s="12" t="n">
        <v>1930000</v>
      </c>
      <c r="J20" s="12"/>
      <c r="K20" s="12" t="n">
        <v>1540000</v>
      </c>
      <c r="L20" s="12"/>
      <c r="M20" s="12" t="n">
        <v>1430000</v>
      </c>
      <c r="N20" s="12"/>
      <c r="O20" s="14" t="n">
        <f aca="false">E20+G20+I20+K20+M20</f>
        <v>8130000</v>
      </c>
    </row>
    <row r="21" customFormat="false" ht="15" hidden="false" customHeight="false" outlineLevel="0" collapsed="false">
      <c r="A21" s="3" t="n">
        <v>20</v>
      </c>
      <c r="B21" s="3" t="s">
        <v>83</v>
      </c>
      <c r="C21" s="6" t="s">
        <v>84</v>
      </c>
      <c r="D21" s="4" t="s">
        <v>6</v>
      </c>
      <c r="E21" s="12" t="n">
        <v>5010000</v>
      </c>
      <c r="F21" s="13" t="n">
        <v>750000</v>
      </c>
      <c r="G21" s="12" t="n">
        <v>1680000</v>
      </c>
      <c r="H21" s="12"/>
      <c r="I21" s="12" t="n">
        <v>2330000</v>
      </c>
      <c r="J21" s="12"/>
      <c r="K21" s="12" t="n">
        <v>1060000</v>
      </c>
      <c r="L21" s="12"/>
      <c r="M21" s="12" t="n">
        <v>200000</v>
      </c>
      <c r="N21" s="12"/>
      <c r="O21" s="14" t="n">
        <f aca="false">E21+G21+I21+K21+M21</f>
        <v>10280000</v>
      </c>
    </row>
    <row r="22" customFormat="false" ht="15" hidden="false" customHeight="false" outlineLevel="0" collapsed="false">
      <c r="A22" s="3" t="n">
        <v>21</v>
      </c>
      <c r="B22" s="3" t="s">
        <v>87</v>
      </c>
      <c r="C22" s="6" t="s">
        <v>88</v>
      </c>
      <c r="D22" s="4" t="s">
        <v>6</v>
      </c>
      <c r="E22" s="12" t="n">
        <v>3430000</v>
      </c>
      <c r="F22" s="12"/>
      <c r="G22" s="12" t="n">
        <v>500000</v>
      </c>
      <c r="H22" s="12"/>
      <c r="I22" s="12" t="n">
        <v>790000</v>
      </c>
      <c r="J22" s="12"/>
      <c r="K22" s="12" t="n">
        <v>2940000</v>
      </c>
      <c r="L22" s="12"/>
      <c r="M22" s="12" t="n">
        <v>670000</v>
      </c>
      <c r="N22" s="12"/>
      <c r="O22" s="14" t="n">
        <f aca="false">E22+G22+I22+K22+M22</f>
        <v>8330000</v>
      </c>
    </row>
    <row r="23" customFormat="false" ht="15" hidden="false" customHeight="false" outlineLevel="0" collapsed="false">
      <c r="A23" s="3" t="n">
        <v>22</v>
      </c>
      <c r="B23" s="3" t="s">
        <v>91</v>
      </c>
      <c r="C23" s="6" t="s">
        <v>92</v>
      </c>
      <c r="D23" s="4" t="s">
        <v>6</v>
      </c>
      <c r="E23" s="12" t="n">
        <v>2580000</v>
      </c>
      <c r="F23" s="12"/>
      <c r="G23" s="12" t="n">
        <v>3610000</v>
      </c>
      <c r="H23" s="12"/>
      <c r="I23" s="12" t="n">
        <v>1170000</v>
      </c>
      <c r="J23" s="12"/>
      <c r="K23" s="12" t="n">
        <v>2470000</v>
      </c>
      <c r="L23" s="13" t="n">
        <v>370000</v>
      </c>
      <c r="M23" s="12" t="n">
        <v>930000</v>
      </c>
      <c r="N23" s="12"/>
      <c r="O23" s="14" t="n">
        <f aca="false">E23+G23+I23+K23+M23</f>
        <v>10760000</v>
      </c>
    </row>
    <row r="24" customFormat="false" ht="15" hidden="false" customHeight="false" outlineLevel="0" collapsed="false">
      <c r="A24" s="3" t="n">
        <v>23</v>
      </c>
      <c r="B24" s="3" t="s">
        <v>95</v>
      </c>
      <c r="C24" s="6" t="s">
        <v>96</v>
      </c>
      <c r="D24" s="4" t="s">
        <v>6</v>
      </c>
      <c r="E24" s="12" t="n">
        <v>850000</v>
      </c>
      <c r="F24" s="12"/>
      <c r="G24" s="12" t="n">
        <v>2310000</v>
      </c>
      <c r="H24" s="12"/>
      <c r="I24" s="12" t="n">
        <v>1950000</v>
      </c>
      <c r="J24" s="12"/>
      <c r="K24" s="12" t="n">
        <v>1510000</v>
      </c>
      <c r="L24" s="12"/>
      <c r="M24" s="12" t="n">
        <v>1450000</v>
      </c>
      <c r="N24" s="12"/>
      <c r="O24" s="14" t="n">
        <f aca="false">E24+G24+I24+K24+M24</f>
        <v>8070000</v>
      </c>
    </row>
    <row r="25" customFormat="false" ht="15" hidden="false" customHeight="false" outlineLevel="0" collapsed="false">
      <c r="A25" s="3" t="n">
        <v>24</v>
      </c>
      <c r="B25" s="3" t="s">
        <v>99</v>
      </c>
      <c r="C25" s="6" t="s">
        <v>100</v>
      </c>
      <c r="D25" s="4" t="s">
        <v>6</v>
      </c>
      <c r="E25" s="12" t="n">
        <v>2060000</v>
      </c>
      <c r="F25" s="13" t="n">
        <v>310000</v>
      </c>
      <c r="G25" s="12" t="n">
        <v>3220000</v>
      </c>
      <c r="H25" s="12"/>
      <c r="I25" s="12" t="n">
        <v>1400000</v>
      </c>
      <c r="J25" s="12"/>
      <c r="K25" s="12" t="n">
        <v>2190000</v>
      </c>
      <c r="L25" s="12"/>
      <c r="M25" s="12" t="n">
        <v>1080000</v>
      </c>
      <c r="N25" s="12"/>
      <c r="O25" s="14" t="n">
        <f aca="false">E25+G25+I25+K25+M25</f>
        <v>9950000</v>
      </c>
    </row>
    <row r="26" customFormat="false" ht="15" hidden="false" customHeight="false" outlineLevel="0" collapsed="false">
      <c r="A26" s="3" t="n">
        <v>25</v>
      </c>
      <c r="B26" s="3" t="s">
        <v>103</v>
      </c>
      <c r="C26" s="6" t="s">
        <v>104</v>
      </c>
      <c r="D26" s="4" t="s">
        <v>6</v>
      </c>
      <c r="E26" s="12" t="n">
        <v>1850000</v>
      </c>
      <c r="F26" s="12"/>
      <c r="G26" s="12" t="n">
        <v>3060000</v>
      </c>
      <c r="H26" s="12"/>
      <c r="I26" s="12" t="n">
        <v>1500000</v>
      </c>
      <c r="J26" s="12"/>
      <c r="K26" s="12" t="n">
        <v>2070000</v>
      </c>
      <c r="L26" s="12"/>
      <c r="M26" s="12" t="n">
        <v>1140000</v>
      </c>
      <c r="N26" s="12"/>
      <c r="O26" s="14" t="n">
        <f aca="false">E26+G26+I26+K26+M26</f>
        <v>9620000</v>
      </c>
    </row>
    <row r="27" customFormat="false" ht="15" hidden="false" customHeight="false" outlineLevel="0" collapsed="false">
      <c r="A27" s="3" t="n">
        <v>26</v>
      </c>
      <c r="B27" s="3" t="s">
        <v>107</v>
      </c>
      <c r="C27" s="6" t="s">
        <v>108</v>
      </c>
      <c r="D27" s="4" t="s">
        <v>6</v>
      </c>
      <c r="E27" s="12" t="n">
        <v>5170000</v>
      </c>
      <c r="F27" s="12"/>
      <c r="G27" s="12" t="n">
        <v>1800000</v>
      </c>
      <c r="H27" s="12"/>
      <c r="I27" s="12" t="n">
        <v>2260000</v>
      </c>
      <c r="J27" s="12"/>
      <c r="K27" s="12" t="n">
        <v>1140000</v>
      </c>
      <c r="L27" s="12"/>
      <c r="M27" s="12" t="n">
        <v>1650000</v>
      </c>
      <c r="N27" s="12"/>
      <c r="O27" s="14" t="n">
        <f aca="false">E27+G27+I27+K27+M27</f>
        <v>12020000</v>
      </c>
    </row>
    <row r="28" customFormat="false" ht="15" hidden="false" customHeight="false" outlineLevel="0" collapsed="false">
      <c r="A28" s="3" t="n">
        <v>27</v>
      </c>
      <c r="B28" s="3" t="s">
        <v>111</v>
      </c>
      <c r="C28" s="6" t="s">
        <v>112</v>
      </c>
      <c r="D28" s="4" t="s">
        <v>6</v>
      </c>
      <c r="E28" s="12" t="n">
        <v>5400000</v>
      </c>
      <c r="F28" s="12"/>
      <c r="G28" s="12" t="n">
        <v>1970000</v>
      </c>
      <c r="H28" s="12"/>
      <c r="I28" s="12" t="n">
        <v>2150000</v>
      </c>
      <c r="J28" s="12"/>
      <c r="K28" s="12" t="n">
        <v>1270000</v>
      </c>
      <c r="L28" s="12"/>
      <c r="M28" s="12" t="n">
        <v>1580000</v>
      </c>
      <c r="N28" s="12"/>
      <c r="O28" s="14" t="n">
        <f aca="false">E28+G28+I28+K28+M28</f>
        <v>12370000</v>
      </c>
    </row>
    <row r="29" customFormat="false" ht="15" hidden="false" customHeight="false" outlineLevel="0" collapsed="false">
      <c r="A29" s="3" t="n">
        <v>28</v>
      </c>
      <c r="B29" s="3" t="s">
        <v>115</v>
      </c>
      <c r="C29" s="6" t="s">
        <v>116</v>
      </c>
      <c r="D29" s="4" t="s">
        <v>6</v>
      </c>
      <c r="E29" s="12" t="n">
        <v>4810000</v>
      </c>
      <c r="F29" s="12"/>
      <c r="G29" s="12" t="n">
        <v>1530000</v>
      </c>
      <c r="H29" s="12"/>
      <c r="I29" s="12" t="n">
        <v>2420000</v>
      </c>
      <c r="J29" s="12"/>
      <c r="K29" s="12" t="n">
        <v>940000</v>
      </c>
      <c r="L29" s="12"/>
      <c r="M29" s="12" t="n">
        <v>260000</v>
      </c>
      <c r="N29" s="12"/>
      <c r="O29" s="14" t="n">
        <f aca="false">E29+G29+I29+K29+M29</f>
        <v>9960000</v>
      </c>
    </row>
    <row r="30" customFormat="false" ht="15" hidden="false" customHeight="false" outlineLevel="0" collapsed="false">
      <c r="A30" s="3" t="n">
        <v>29</v>
      </c>
      <c r="B30" s="3" t="s">
        <v>119</v>
      </c>
      <c r="C30" s="6" t="s">
        <v>120</v>
      </c>
      <c r="D30" s="4" t="s">
        <v>6</v>
      </c>
      <c r="E30" s="12" t="n">
        <v>4580000</v>
      </c>
      <c r="F30" s="12"/>
      <c r="G30" s="12" t="n">
        <v>1360000</v>
      </c>
      <c r="H30" s="12"/>
      <c r="I30" s="12" t="n">
        <v>270000</v>
      </c>
      <c r="J30" s="12"/>
      <c r="K30" s="12" t="n">
        <v>820000</v>
      </c>
      <c r="L30" s="13" t="n">
        <v>120000</v>
      </c>
      <c r="M30" s="12" t="n">
        <v>320000</v>
      </c>
      <c r="N30" s="12"/>
      <c r="O30" s="14" t="n">
        <f aca="false">E30+G30+I30+K30+M30</f>
        <v>7350000</v>
      </c>
    </row>
    <row r="31" customFormat="false" ht="15" hidden="false" customHeight="false" outlineLevel="0" collapsed="false">
      <c r="A31" s="3" t="n">
        <v>30</v>
      </c>
      <c r="B31" s="3" t="s">
        <v>123</v>
      </c>
      <c r="C31" s="6" t="s">
        <v>124</v>
      </c>
      <c r="D31" s="4" t="s">
        <v>6</v>
      </c>
      <c r="E31" s="12" t="n">
        <v>910000</v>
      </c>
      <c r="F31" s="12"/>
      <c r="G31" s="12" t="n">
        <v>2360000</v>
      </c>
      <c r="H31" s="12"/>
      <c r="I31" s="12" t="n">
        <v>1920000</v>
      </c>
      <c r="J31" s="12"/>
      <c r="K31" s="12" t="n">
        <v>1550000</v>
      </c>
      <c r="L31" s="12"/>
      <c r="M31" s="12" t="n">
        <v>1430000</v>
      </c>
      <c r="N31" s="12"/>
      <c r="O31" s="14" t="n">
        <f aca="false">E31+G31+I31+K31+M31</f>
        <v>8170000</v>
      </c>
    </row>
    <row r="32" customFormat="false" ht="15" hidden="false" customHeight="false" outlineLevel="0" collapsed="false">
      <c r="A32" s="3" t="n">
        <v>31</v>
      </c>
      <c r="B32" s="3" t="s">
        <v>127</v>
      </c>
      <c r="C32" s="6" t="s">
        <v>128</v>
      </c>
      <c r="D32" s="4" t="s">
        <v>6</v>
      </c>
      <c r="E32" s="12" t="n">
        <v>4020000</v>
      </c>
      <c r="F32" s="12"/>
      <c r="G32" s="12" t="n">
        <v>940000</v>
      </c>
      <c r="H32" s="12"/>
      <c r="I32" s="12" t="n">
        <v>530000</v>
      </c>
      <c r="J32" s="12"/>
      <c r="K32" s="12" t="n">
        <v>510000</v>
      </c>
      <c r="L32" s="12"/>
      <c r="M32" s="12" t="n">
        <v>490000</v>
      </c>
      <c r="N32" s="12"/>
      <c r="O32" s="14" t="n">
        <f aca="false">E32+G32+I32+K32+M32</f>
        <v>6490000</v>
      </c>
    </row>
    <row r="33" customFormat="false" ht="15" hidden="false" customHeight="false" outlineLevel="0" collapsed="false">
      <c r="A33" s="3" t="n">
        <v>32</v>
      </c>
      <c r="B33" s="3" t="s">
        <v>131</v>
      </c>
      <c r="C33" s="6" t="s">
        <v>132</v>
      </c>
      <c r="D33" s="4" t="s">
        <v>6</v>
      </c>
      <c r="E33" s="12" t="n">
        <v>5410000</v>
      </c>
      <c r="F33" s="12"/>
      <c r="G33" s="12" t="n">
        <v>1980000</v>
      </c>
      <c r="H33" s="12"/>
      <c r="I33" s="12" t="n">
        <v>2150000</v>
      </c>
      <c r="J33" s="12"/>
      <c r="K33" s="12" t="n">
        <v>1280000</v>
      </c>
      <c r="L33" s="13" t="n">
        <v>190000</v>
      </c>
      <c r="M33" s="12" t="n">
        <v>1580000</v>
      </c>
      <c r="N33" s="12"/>
      <c r="O33" s="14" t="n">
        <f aca="false">E33+G33+I33+K33+M33</f>
        <v>12400000</v>
      </c>
    </row>
    <row r="34" customFormat="false" ht="15" hidden="false" customHeight="false" outlineLevel="0" collapsed="false">
      <c r="A34" s="3" t="n">
        <v>33</v>
      </c>
      <c r="B34" s="3" t="s">
        <v>135</v>
      </c>
      <c r="C34" s="6" t="s">
        <v>136</v>
      </c>
      <c r="D34" s="4" t="s">
        <v>6</v>
      </c>
      <c r="E34" s="12" t="n">
        <v>890000</v>
      </c>
      <c r="F34" s="12"/>
      <c r="G34" s="12" t="n">
        <v>2340000</v>
      </c>
      <c r="H34" s="12"/>
      <c r="I34" s="12" t="n">
        <v>1930000</v>
      </c>
      <c r="J34" s="12"/>
      <c r="K34" s="12" t="n">
        <v>1540000</v>
      </c>
      <c r="L34" s="12"/>
      <c r="M34" s="12" t="n">
        <v>1430000</v>
      </c>
      <c r="N34" s="12"/>
      <c r="O34" s="14" t="n">
        <f aca="false">E34+G34+I34+K34+M34</f>
        <v>8130000</v>
      </c>
    </row>
    <row r="35" customFormat="false" ht="15" hidden="false" customHeight="false" outlineLevel="0" collapsed="false">
      <c r="A35" s="3" t="n">
        <v>34</v>
      </c>
      <c r="B35" s="3" t="s">
        <v>139</v>
      </c>
      <c r="C35" s="6" t="s">
        <v>140</v>
      </c>
      <c r="D35" s="4" t="s">
        <v>6</v>
      </c>
      <c r="E35" s="12" t="n">
        <v>1500000</v>
      </c>
      <c r="F35" s="12"/>
      <c r="G35" s="12" t="n">
        <v>2800000</v>
      </c>
      <c r="H35" s="12"/>
      <c r="I35" s="12" t="n">
        <v>1660000</v>
      </c>
      <c r="J35" s="12"/>
      <c r="K35" s="12" t="n">
        <v>1870000</v>
      </c>
      <c r="L35" s="12"/>
      <c r="M35" s="12" t="n">
        <v>1250000</v>
      </c>
      <c r="N35" s="12"/>
      <c r="O35" s="14" t="n">
        <f aca="false">E35+G35+I35+K35+M35</f>
        <v>9080000</v>
      </c>
    </row>
    <row r="36" customFormat="false" ht="15" hidden="false" customHeight="false" outlineLevel="0" collapsed="false">
      <c r="A36" s="3" t="n">
        <v>35</v>
      </c>
      <c r="B36" s="3" t="s">
        <v>143</v>
      </c>
      <c r="C36" s="6" t="s">
        <v>144</v>
      </c>
      <c r="D36" s="4" t="s">
        <v>6</v>
      </c>
      <c r="E36" s="12" t="n">
        <v>3550000</v>
      </c>
      <c r="F36" s="12"/>
      <c r="G36" s="12" t="n">
        <v>590000</v>
      </c>
      <c r="H36" s="13" t="n">
        <v>90000</v>
      </c>
      <c r="I36" s="12" t="n">
        <v>740000</v>
      </c>
      <c r="J36" s="12"/>
      <c r="K36" s="12" t="n">
        <v>3000000</v>
      </c>
      <c r="L36" s="12"/>
      <c r="M36" s="12" t="n">
        <v>630000</v>
      </c>
      <c r="N36" s="13" t="n">
        <v>90000</v>
      </c>
      <c r="O36" s="14" t="n">
        <f aca="false">E36+G36+I36+K36+M36</f>
        <v>8510000</v>
      </c>
    </row>
    <row r="37" customFormat="false" ht="15" hidden="false" customHeight="false" outlineLevel="0" collapsed="false">
      <c r="A37" s="3" t="n">
        <v>36</v>
      </c>
      <c r="B37" s="3" t="s">
        <v>147</v>
      </c>
      <c r="C37" s="6" t="s">
        <v>148</v>
      </c>
      <c r="D37" s="4" t="s">
        <v>6</v>
      </c>
      <c r="E37" s="12" t="n">
        <v>3260000</v>
      </c>
      <c r="F37" s="12"/>
      <c r="G37" s="12" t="n">
        <v>4120000</v>
      </c>
      <c r="H37" s="12"/>
      <c r="I37" s="12" t="n">
        <v>870000</v>
      </c>
      <c r="J37" s="12"/>
      <c r="K37" s="12" t="n">
        <v>2840000</v>
      </c>
      <c r="L37" s="12"/>
      <c r="M37" s="12" t="n">
        <v>720000</v>
      </c>
      <c r="N37" s="12"/>
      <c r="O37" s="14" t="n">
        <f aca="false">E37+G37+I37+K37+M37</f>
        <v>11810000</v>
      </c>
    </row>
    <row r="38" customFormat="false" ht="15" hidden="false" customHeight="false" outlineLevel="0" collapsed="false">
      <c r="A38" s="3" t="n">
        <v>37</v>
      </c>
      <c r="B38" s="3" t="s">
        <v>151</v>
      </c>
      <c r="C38" s="6" t="s">
        <v>152</v>
      </c>
      <c r="D38" s="4" t="s">
        <v>6</v>
      </c>
      <c r="E38" s="12" t="n">
        <v>4430000</v>
      </c>
      <c r="F38" s="12"/>
      <c r="G38" s="12" t="n">
        <v>1250000</v>
      </c>
      <c r="H38" s="12"/>
      <c r="I38" s="12" t="n">
        <v>340000</v>
      </c>
      <c r="J38" s="12"/>
      <c r="K38" s="12" t="n">
        <v>740000</v>
      </c>
      <c r="L38" s="12"/>
      <c r="M38" s="12" t="n">
        <v>370000</v>
      </c>
      <c r="N38" s="12"/>
      <c r="O38" s="14" t="n">
        <f aca="false">E38+G38+I38+K38+M38</f>
        <v>7130000</v>
      </c>
    </row>
    <row r="39" customFormat="false" ht="15" hidden="false" customHeight="false" outlineLevel="0" collapsed="false">
      <c r="A39" s="3" t="n">
        <v>38</v>
      </c>
      <c r="B39" s="3" t="s">
        <v>155</v>
      </c>
      <c r="C39" s="6" t="s">
        <v>156</v>
      </c>
      <c r="D39" s="4" t="s">
        <v>6</v>
      </c>
      <c r="E39" s="12" t="n">
        <v>4830000</v>
      </c>
      <c r="F39" s="12"/>
      <c r="G39" s="12" t="n">
        <v>1540000</v>
      </c>
      <c r="H39" s="12"/>
      <c r="I39" s="12" t="n">
        <v>2410000</v>
      </c>
      <c r="J39" s="13" t="n">
        <v>360000</v>
      </c>
      <c r="K39" s="12" t="n">
        <v>950000</v>
      </c>
      <c r="L39" s="12"/>
      <c r="M39" s="12" t="n">
        <v>250000</v>
      </c>
      <c r="N39" s="12"/>
      <c r="O39" s="14" t="n">
        <f aca="false">E39+G39+I39+K39+M39</f>
        <v>9980000</v>
      </c>
    </row>
    <row r="40" customFormat="false" ht="15" hidden="false" customHeight="false" outlineLevel="0" collapsed="false">
      <c r="A40" s="3" t="n">
        <v>39</v>
      </c>
      <c r="B40" s="3" t="s">
        <v>159</v>
      </c>
      <c r="C40" s="6" t="s">
        <v>160</v>
      </c>
      <c r="D40" s="4" t="s">
        <v>6</v>
      </c>
      <c r="E40" s="12" t="n">
        <v>4650000</v>
      </c>
      <c r="F40" s="12"/>
      <c r="G40" s="12" t="n">
        <v>1410000</v>
      </c>
      <c r="H40" s="12"/>
      <c r="I40" s="12" t="n">
        <v>240000</v>
      </c>
      <c r="J40" s="12"/>
      <c r="K40" s="12" t="n">
        <v>860000</v>
      </c>
      <c r="L40" s="12"/>
      <c r="M40" s="12" t="n">
        <v>300000</v>
      </c>
      <c r="N40" s="12"/>
      <c r="O40" s="14" t="n">
        <f aca="false">E40+G40+I40+K40+M40</f>
        <v>7460000</v>
      </c>
    </row>
    <row r="41" customFormat="false" ht="15" hidden="false" customHeight="false" outlineLevel="0" collapsed="false">
      <c r="A41" s="3" t="n">
        <v>40</v>
      </c>
      <c r="B41" s="3" t="s">
        <v>163</v>
      </c>
      <c r="C41" s="6" t="s">
        <v>164</v>
      </c>
      <c r="D41" s="4" t="s">
        <v>6</v>
      </c>
      <c r="E41" s="12" t="n">
        <v>1330000</v>
      </c>
      <c r="F41" s="12"/>
      <c r="G41" s="12" t="n">
        <v>2670000</v>
      </c>
      <c r="H41" s="12"/>
      <c r="I41" s="12" t="n">
        <v>1730000</v>
      </c>
      <c r="J41" s="12"/>
      <c r="K41" s="12" t="n">
        <v>1780000</v>
      </c>
      <c r="L41" s="12"/>
      <c r="M41" s="12" t="n">
        <v>1300000</v>
      </c>
      <c r="N41" s="12"/>
      <c r="O41" s="14" t="n">
        <f aca="false">E41+G41+I41+K41+M41</f>
        <v>8810000</v>
      </c>
    </row>
    <row r="42" customFormat="false" ht="15" hidden="false" customHeight="false" outlineLevel="0" collapsed="false">
      <c r="A42" s="3" t="n">
        <v>41</v>
      </c>
      <c r="B42" s="3" t="s">
        <v>168</v>
      </c>
      <c r="C42" s="6" t="s">
        <v>169</v>
      </c>
      <c r="D42" s="7" t="s">
        <v>167</v>
      </c>
      <c r="E42" s="12" t="n">
        <v>4450000</v>
      </c>
      <c r="F42" s="12"/>
      <c r="G42" s="12" t="n">
        <v>2230000</v>
      </c>
      <c r="H42" s="12"/>
      <c r="I42" s="12" t="n">
        <v>330000</v>
      </c>
      <c r="J42" s="12"/>
      <c r="K42" s="12" t="n">
        <v>750000</v>
      </c>
      <c r="L42" s="12"/>
      <c r="M42" s="12" t="n">
        <v>360000</v>
      </c>
      <c r="N42" s="12"/>
      <c r="O42" s="14" t="n">
        <f aca="false">E42+G42+I42+K42+M42</f>
        <v>8120000</v>
      </c>
    </row>
    <row r="43" customFormat="false" ht="15" hidden="false" customHeight="false" outlineLevel="0" collapsed="false">
      <c r="A43" s="3" t="n">
        <v>42</v>
      </c>
      <c r="B43" s="3" t="s">
        <v>172</v>
      </c>
      <c r="C43" s="6" t="s">
        <v>173</v>
      </c>
      <c r="D43" s="7" t="s">
        <v>167</v>
      </c>
      <c r="E43" s="12" t="n">
        <v>4450000</v>
      </c>
      <c r="F43" s="12"/>
      <c r="G43" s="12" t="n">
        <v>2230000</v>
      </c>
      <c r="H43" s="12"/>
      <c r="I43" s="12" t="n">
        <v>330000</v>
      </c>
      <c r="J43" s="12"/>
      <c r="K43" s="12" t="n">
        <v>740000</v>
      </c>
      <c r="L43" s="12"/>
      <c r="M43" s="12" t="n">
        <v>370000</v>
      </c>
      <c r="N43" s="12"/>
      <c r="O43" s="14" t="n">
        <f aca="false">E43+G43+I43+K43+M43</f>
        <v>8120000</v>
      </c>
    </row>
    <row r="44" customFormat="false" ht="15" hidden="false" customHeight="false" outlineLevel="0" collapsed="false">
      <c r="A44" s="3" t="n">
        <v>43</v>
      </c>
      <c r="B44" s="3" t="s">
        <v>176</v>
      </c>
      <c r="C44" s="6" t="s">
        <v>177</v>
      </c>
      <c r="D44" s="7" t="s">
        <v>167</v>
      </c>
      <c r="E44" s="12" t="n">
        <v>4080000</v>
      </c>
      <c r="F44" s="12"/>
      <c r="G44" s="12" t="n">
        <v>2510000</v>
      </c>
      <c r="H44" s="12"/>
      <c r="I44" s="12" t="n">
        <v>500000</v>
      </c>
      <c r="J44" s="12"/>
      <c r="K44" s="12" t="n">
        <v>540000</v>
      </c>
      <c r="L44" s="12"/>
      <c r="M44" s="12" t="n">
        <v>480000</v>
      </c>
      <c r="N44" s="12"/>
      <c r="O44" s="14" t="n">
        <f aca="false">E44+G44+I44+K44+M44</f>
        <v>8110000</v>
      </c>
    </row>
    <row r="45" customFormat="false" ht="15" hidden="false" customHeight="false" outlineLevel="0" collapsed="false">
      <c r="A45" s="3" t="n">
        <v>44</v>
      </c>
      <c r="B45" s="3" t="s">
        <v>181</v>
      </c>
      <c r="C45" s="6" t="s">
        <v>182</v>
      </c>
      <c r="D45" s="8" t="s">
        <v>180</v>
      </c>
      <c r="E45" s="12" t="n">
        <v>940000</v>
      </c>
      <c r="F45" s="12"/>
      <c r="G45" s="12" t="n">
        <v>2380000</v>
      </c>
      <c r="H45" s="12"/>
      <c r="I45" s="12" t="n">
        <v>1910000</v>
      </c>
      <c r="J45" s="12"/>
      <c r="K45" s="12" t="n">
        <v>1570000</v>
      </c>
      <c r="L45" s="12"/>
      <c r="M45" s="12" t="n">
        <v>1420000</v>
      </c>
      <c r="N45" s="12"/>
      <c r="O45" s="14" t="n">
        <f aca="false">E45+G45+I45+K45+M45</f>
        <v>8220000</v>
      </c>
    </row>
    <row r="46" customFormat="false" ht="15" hidden="false" customHeight="false" outlineLevel="0" collapsed="false">
      <c r="A46" s="3" t="n">
        <v>45</v>
      </c>
      <c r="B46" s="3" t="s">
        <v>185</v>
      </c>
      <c r="C46" s="6" t="s">
        <v>186</v>
      </c>
      <c r="D46" s="8" t="s">
        <v>180</v>
      </c>
      <c r="E46" s="12" t="n">
        <v>2560000</v>
      </c>
      <c r="F46" s="13" t="n">
        <v>380000</v>
      </c>
      <c r="G46" s="12" t="n">
        <v>3600000</v>
      </c>
      <c r="H46" s="12"/>
      <c r="I46" s="12" t="n">
        <v>1180000</v>
      </c>
      <c r="J46" s="12"/>
      <c r="K46" s="12" t="n">
        <v>2460000</v>
      </c>
      <c r="L46" s="12"/>
      <c r="M46" s="12" t="n">
        <v>930000</v>
      </c>
      <c r="N46" s="12"/>
      <c r="O46" s="14" t="n">
        <f aca="false">E46+G46+I46+K46+M46</f>
        <v>10730000</v>
      </c>
    </row>
    <row r="47" customFormat="false" ht="15" hidden="false" customHeight="false" outlineLevel="0" collapsed="false">
      <c r="A47" s="3" t="n">
        <v>46</v>
      </c>
      <c r="B47" s="3" t="s">
        <v>190</v>
      </c>
      <c r="C47" s="5" t="s">
        <v>191</v>
      </c>
      <c r="D47" s="9" t="s">
        <v>189</v>
      </c>
      <c r="E47" s="12" t="n">
        <v>590000</v>
      </c>
      <c r="F47" s="12"/>
      <c r="G47" s="12" t="n">
        <v>2110000</v>
      </c>
      <c r="H47" s="12"/>
      <c r="I47" s="12" t="n">
        <v>2070000</v>
      </c>
      <c r="J47" s="12"/>
      <c r="K47" s="12" t="n">
        <v>1370000</v>
      </c>
      <c r="L47" s="12"/>
      <c r="M47" s="12" t="n">
        <v>1520000</v>
      </c>
      <c r="N47" s="12"/>
      <c r="O47" s="14" t="n">
        <f aca="false">E47+G47+I47+K47+M47</f>
        <v>7660000</v>
      </c>
    </row>
    <row r="48" customFormat="false" ht="15" hidden="false" customHeight="false" outlineLevel="0" collapsed="false">
      <c r="A48" s="3" t="n">
        <v>47</v>
      </c>
      <c r="B48" s="3" t="s">
        <v>194</v>
      </c>
      <c r="C48" s="5" t="s">
        <v>195</v>
      </c>
      <c r="D48" s="9" t="s">
        <v>189</v>
      </c>
      <c r="E48" s="12" t="n">
        <v>570000</v>
      </c>
      <c r="F48" s="12"/>
      <c r="G48" s="12" t="n">
        <v>2100000</v>
      </c>
      <c r="H48" s="12"/>
      <c r="I48" s="12" t="n">
        <v>2080000</v>
      </c>
      <c r="J48" s="12"/>
      <c r="K48" s="12" t="n">
        <v>1360000</v>
      </c>
      <c r="L48" s="12"/>
      <c r="M48" s="12" t="n">
        <v>1530000</v>
      </c>
      <c r="N48" s="12"/>
      <c r="O48" s="14" t="n">
        <f aca="false">E48+G48+I48+K48+M48</f>
        <v>7640000</v>
      </c>
    </row>
    <row r="49" customFormat="false" ht="15" hidden="false" customHeight="false" outlineLevel="0" collapsed="false">
      <c r="A49" s="3" t="n">
        <v>48</v>
      </c>
      <c r="B49" s="3" t="s">
        <v>198</v>
      </c>
      <c r="C49" s="5" t="s">
        <v>199</v>
      </c>
      <c r="D49" s="9" t="s">
        <v>189</v>
      </c>
      <c r="E49" s="12" t="n">
        <v>530000</v>
      </c>
      <c r="F49" s="12"/>
      <c r="G49" s="12" t="n">
        <v>2070000</v>
      </c>
      <c r="H49" s="13" t="n">
        <v>310000</v>
      </c>
      <c r="I49" s="12" t="n">
        <v>2100000</v>
      </c>
      <c r="J49" s="12"/>
      <c r="K49" s="12" t="n">
        <v>1340000</v>
      </c>
      <c r="L49" s="12"/>
      <c r="M49" s="12" t="n">
        <v>1540000</v>
      </c>
      <c r="N49" s="13" t="n">
        <v>230000</v>
      </c>
      <c r="O49" s="14" t="n">
        <f aca="false">E49+G49+I49+K49+M49</f>
        <v>7580000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143890000</v>
      </c>
      <c r="F50" s="17" t="n">
        <f aca="false">SUM(F2:F49)</f>
        <v>2150000</v>
      </c>
      <c r="G50" s="17" t="n">
        <f aca="false">SUM(G2:G49)</f>
        <v>112970000</v>
      </c>
      <c r="H50" s="17" t="n">
        <f aca="false">SUM(H2:H49)</f>
        <v>700000</v>
      </c>
      <c r="I50" s="17" t="n">
        <f aca="false">SUM(I2:I49)</f>
        <v>69760000</v>
      </c>
      <c r="J50" s="17" t="n">
        <f aca="false">SUM(J2:J49)</f>
        <v>660000</v>
      </c>
      <c r="K50" s="17" t="n">
        <f aca="false">SUM(K2:K49)</f>
        <v>77240000</v>
      </c>
      <c r="L50" s="17" t="n">
        <f aca="false">SUM(L2:L49)</f>
        <v>2220000</v>
      </c>
      <c r="M50" s="17" t="n">
        <f aca="false">SUM(M2:M49)</f>
        <v>45900000</v>
      </c>
      <c r="N50" s="17" t="n">
        <f aca="false">SUM(N2:N49)</f>
        <v>550000</v>
      </c>
      <c r="O50" s="17" t="n">
        <f aca="false">SUM(O2:O49)</f>
        <v>449760000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8" min="8" style="0" width="12"/>
  </cols>
  <sheetData>
    <row r="1" customFormat="false" ht="17.15" hidden="false" customHeight="false" outlineLevel="0" collapsed="false">
      <c r="A1" s="2" t="s">
        <v>214</v>
      </c>
      <c r="B1" s="2" t="s">
        <v>2</v>
      </c>
      <c r="C1" s="2" t="s">
        <v>3</v>
      </c>
      <c r="D1" s="2" t="s">
        <v>1</v>
      </c>
      <c r="E1" s="2" t="s">
        <v>215</v>
      </c>
      <c r="F1" s="2" t="s">
        <v>216</v>
      </c>
      <c r="G1" s="2" t="s">
        <v>217</v>
      </c>
      <c r="H1" s="2" t="s">
        <v>218</v>
      </c>
    </row>
    <row r="2" customFormat="false" ht="15" hidden="false" customHeight="false" outlineLevel="0" collapsed="false">
      <c r="A2" s="3" t="n">
        <v>1</v>
      </c>
      <c r="B2" s="3" t="s">
        <v>71</v>
      </c>
      <c r="C2" s="6" t="s">
        <v>72</v>
      </c>
      <c r="D2" s="4" t="s">
        <v>6</v>
      </c>
      <c r="E2" s="18" t="n">
        <v>5460000</v>
      </c>
      <c r="F2" s="18"/>
      <c r="G2" s="18" t="n">
        <f aca="false">E2-IF(ISBLANK(F2),0,F2)</f>
        <v>5460000</v>
      </c>
      <c r="H2" s="19" t="n">
        <f aca="false">IFERROR(G2/G50*100,0)</f>
        <v>3.85212360660364</v>
      </c>
    </row>
    <row r="3" customFormat="false" ht="15" hidden="false" customHeight="false" outlineLevel="0" collapsed="false">
      <c r="A3" s="3" t="n">
        <v>2</v>
      </c>
      <c r="B3" s="3" t="s">
        <v>131</v>
      </c>
      <c r="C3" s="6" t="s">
        <v>132</v>
      </c>
      <c r="D3" s="4" t="s">
        <v>6</v>
      </c>
      <c r="E3" s="18" t="n">
        <v>5410000</v>
      </c>
      <c r="F3" s="18"/>
      <c r="G3" s="18" t="n">
        <f aca="false">E3-IF(ISBLANK(F3),0,F3)</f>
        <v>5410000</v>
      </c>
      <c r="H3" s="19" t="n">
        <f aca="false">IFERROR(G3/G50*100,0)</f>
        <v>3.81684774940031</v>
      </c>
    </row>
    <row r="4" customFormat="false" ht="15" hidden="false" customHeight="false" outlineLevel="0" collapsed="false">
      <c r="A4" s="3" t="n">
        <v>3</v>
      </c>
      <c r="B4" s="3" t="s">
        <v>111</v>
      </c>
      <c r="C4" s="6" t="s">
        <v>112</v>
      </c>
      <c r="D4" s="4" t="s">
        <v>6</v>
      </c>
      <c r="E4" s="18" t="n">
        <v>5400000</v>
      </c>
      <c r="F4" s="18"/>
      <c r="G4" s="18" t="n">
        <f aca="false">E4-IF(ISBLANK(F4),0,F4)</f>
        <v>5400000</v>
      </c>
      <c r="H4" s="19" t="n">
        <f aca="false">IFERROR(G4/G50*100,0)</f>
        <v>3.80979257795965</v>
      </c>
    </row>
    <row r="5" customFormat="false" ht="15" hidden="false" customHeight="false" outlineLevel="0" collapsed="false">
      <c r="A5" s="3" t="n">
        <v>4</v>
      </c>
      <c r="B5" s="3" t="s">
        <v>67</v>
      </c>
      <c r="C5" s="6" t="s">
        <v>68</v>
      </c>
      <c r="D5" s="4" t="s">
        <v>6</v>
      </c>
      <c r="E5" s="18" t="n">
        <v>5360000</v>
      </c>
      <c r="F5" s="18"/>
      <c r="G5" s="18" t="n">
        <f aca="false">E5-IF(ISBLANK(F5),0,F5)</f>
        <v>5360000</v>
      </c>
      <c r="H5" s="19" t="n">
        <f aca="false">IFERROR(G5/G50*100,0)</f>
        <v>3.78157189219698</v>
      </c>
    </row>
    <row r="6" customFormat="false" ht="15" hidden="false" customHeight="false" outlineLevel="0" collapsed="false">
      <c r="A6" s="3" t="n">
        <v>5</v>
      </c>
      <c r="B6" s="3" t="s">
        <v>107</v>
      </c>
      <c r="C6" s="6" t="s">
        <v>108</v>
      </c>
      <c r="D6" s="4" t="s">
        <v>6</v>
      </c>
      <c r="E6" s="18" t="n">
        <v>5170000</v>
      </c>
      <c r="F6" s="18"/>
      <c r="G6" s="18" t="n">
        <f aca="false">E6-IF(ISBLANK(F6),0,F6)</f>
        <v>5170000</v>
      </c>
      <c r="H6" s="19" t="n">
        <f aca="false">IFERROR(G6/G50*100,0)</f>
        <v>3.64752363482433</v>
      </c>
    </row>
    <row r="7" customFormat="false" ht="15" hidden="false" customHeight="false" outlineLevel="0" collapsed="false">
      <c r="A7" s="3" t="n">
        <v>6</v>
      </c>
      <c r="B7" s="3" t="s">
        <v>55</v>
      </c>
      <c r="C7" s="6" t="s">
        <v>56</v>
      </c>
      <c r="D7" s="4" t="s">
        <v>6</v>
      </c>
      <c r="E7" s="18" t="n">
        <v>5140000</v>
      </c>
      <c r="F7" s="18"/>
      <c r="G7" s="18" t="n">
        <f aca="false">E7-IF(ISBLANK(F7),0,F7)</f>
        <v>5140000</v>
      </c>
      <c r="H7" s="19" t="n">
        <f aca="false">IFERROR(G7/G50*100,0)</f>
        <v>3.62635812050233</v>
      </c>
    </row>
    <row r="8" customFormat="false" ht="15" hidden="false" customHeight="false" outlineLevel="0" collapsed="false">
      <c r="A8" s="3" t="n">
        <v>7</v>
      </c>
      <c r="B8" s="3" t="s">
        <v>83</v>
      </c>
      <c r="C8" s="6" t="s">
        <v>84</v>
      </c>
      <c r="D8" s="4" t="s">
        <v>6</v>
      </c>
      <c r="E8" s="18" t="n">
        <v>5010000</v>
      </c>
      <c r="F8" s="20" t="n">
        <v>750000</v>
      </c>
      <c r="G8" s="18" t="n">
        <f aca="false">E8-IF(ISBLANK(F8),0,F8)</f>
        <v>4260000</v>
      </c>
      <c r="H8" s="19" t="n">
        <f aca="false">IFERROR(G8/G50*100,0)</f>
        <v>3.00550303372372</v>
      </c>
    </row>
    <row r="9" customFormat="false" ht="15" hidden="false" customHeight="false" outlineLevel="0" collapsed="false">
      <c r="A9" s="3" t="n">
        <v>8</v>
      </c>
      <c r="B9" s="3" t="s">
        <v>155</v>
      </c>
      <c r="C9" s="6" t="s">
        <v>156</v>
      </c>
      <c r="D9" s="4" t="s">
        <v>6</v>
      </c>
      <c r="E9" s="18" t="n">
        <v>4830000</v>
      </c>
      <c r="F9" s="18"/>
      <c r="G9" s="18" t="n">
        <f aca="false">E9-IF(ISBLANK(F9),0,F9)</f>
        <v>4830000</v>
      </c>
      <c r="H9" s="19" t="n">
        <f aca="false">IFERROR(G9/G50*100,0)</f>
        <v>3.40764780584168</v>
      </c>
    </row>
    <row r="10" customFormat="false" ht="15" hidden="false" customHeight="false" outlineLevel="0" collapsed="false">
      <c r="A10" s="3" t="n">
        <v>9</v>
      </c>
      <c r="B10" s="3" t="s">
        <v>23</v>
      </c>
      <c r="C10" s="6" t="s">
        <v>24</v>
      </c>
      <c r="D10" s="4" t="s">
        <v>6</v>
      </c>
      <c r="E10" s="18" t="n">
        <v>4820000</v>
      </c>
      <c r="F10" s="18"/>
      <c r="G10" s="18" t="n">
        <f aca="false">E10-IF(ISBLANK(F10),0,F10)</f>
        <v>4820000</v>
      </c>
      <c r="H10" s="19" t="n">
        <f aca="false">IFERROR(G10/G50*100,0)</f>
        <v>3.40059263440102</v>
      </c>
    </row>
    <row r="11" customFormat="false" ht="15" hidden="false" customHeight="false" outlineLevel="0" collapsed="false">
      <c r="A11" s="3" t="n">
        <v>10</v>
      </c>
      <c r="B11" s="3" t="s">
        <v>115</v>
      </c>
      <c r="C11" s="6" t="s">
        <v>116</v>
      </c>
      <c r="D11" s="4" t="s">
        <v>6</v>
      </c>
      <c r="E11" s="18" t="n">
        <v>4810000</v>
      </c>
      <c r="F11" s="18"/>
      <c r="G11" s="18" t="n">
        <f aca="false">E11-IF(ISBLANK(F11),0,F11)</f>
        <v>4810000</v>
      </c>
      <c r="H11" s="19" t="n">
        <f aca="false">IFERROR(G11/G50*100,0)</f>
        <v>3.39353746296035</v>
      </c>
    </row>
    <row r="12" customFormat="false" ht="15" hidden="false" customHeight="false" outlineLevel="0" collapsed="false">
      <c r="A12" s="3" t="n">
        <v>11</v>
      </c>
      <c r="B12" s="3" t="s">
        <v>159</v>
      </c>
      <c r="C12" s="6" t="s">
        <v>160</v>
      </c>
      <c r="D12" s="4" t="s">
        <v>6</v>
      </c>
      <c r="E12" s="18" t="n">
        <v>4650000</v>
      </c>
      <c r="F12" s="18"/>
      <c r="G12" s="18" t="n">
        <f aca="false">E12-IF(ISBLANK(F12),0,F12)</f>
        <v>4650000</v>
      </c>
      <c r="H12" s="19" t="n">
        <f aca="false">IFERROR(G12/G50*100,0)</f>
        <v>3.28065471990969</v>
      </c>
    </row>
    <row r="13" customFormat="false" ht="15" hidden="false" customHeight="false" outlineLevel="0" collapsed="false">
      <c r="A13" s="3" t="n">
        <v>12</v>
      </c>
      <c r="B13" s="3" t="s">
        <v>119</v>
      </c>
      <c r="C13" s="6" t="s">
        <v>120</v>
      </c>
      <c r="D13" s="4" t="s">
        <v>6</v>
      </c>
      <c r="E13" s="18" t="n">
        <v>4580000</v>
      </c>
      <c r="F13" s="18"/>
      <c r="G13" s="18" t="n">
        <f aca="false">E13-IF(ISBLANK(F13),0,F13)</f>
        <v>4580000</v>
      </c>
      <c r="H13" s="19" t="n">
        <f aca="false">IFERROR(G13/G50*100,0)</f>
        <v>3.23126851982503</v>
      </c>
    </row>
    <row r="14" customFormat="false" ht="15" hidden="false" customHeight="false" outlineLevel="0" collapsed="false">
      <c r="A14" s="3" t="n">
        <v>13</v>
      </c>
      <c r="B14" s="3" t="s">
        <v>168</v>
      </c>
      <c r="C14" s="6" t="s">
        <v>169</v>
      </c>
      <c r="D14" s="7" t="s">
        <v>167</v>
      </c>
      <c r="E14" s="18" t="n">
        <v>4450000</v>
      </c>
      <c r="F14" s="18"/>
      <c r="G14" s="18" t="n">
        <f aca="false">E14-IF(ISBLANK(F14),0,F14)</f>
        <v>4450000</v>
      </c>
      <c r="H14" s="19" t="n">
        <f aca="false">IFERROR(G14/G50*100,0)</f>
        <v>3.13955129109637</v>
      </c>
    </row>
    <row r="15" customFormat="false" ht="15" hidden="false" customHeight="false" outlineLevel="0" collapsed="false">
      <c r="A15" s="3" t="n">
        <v>14</v>
      </c>
      <c r="B15" s="3" t="s">
        <v>172</v>
      </c>
      <c r="C15" s="6" t="s">
        <v>173</v>
      </c>
      <c r="D15" s="7" t="s">
        <v>167</v>
      </c>
      <c r="E15" s="18" t="n">
        <v>4450000</v>
      </c>
      <c r="F15" s="18"/>
      <c r="G15" s="18" t="n">
        <f aca="false">E15-IF(ISBLANK(F15),0,F15)</f>
        <v>4450000</v>
      </c>
      <c r="H15" s="19" t="n">
        <f aca="false">IFERROR(G15/G50*100,0)</f>
        <v>3.13955129109637</v>
      </c>
    </row>
    <row r="16" customFormat="false" ht="15" hidden="false" customHeight="false" outlineLevel="0" collapsed="false">
      <c r="A16" s="3" t="n">
        <v>15</v>
      </c>
      <c r="B16" s="3" t="s">
        <v>151</v>
      </c>
      <c r="C16" s="6" t="s">
        <v>152</v>
      </c>
      <c r="D16" s="4" t="s">
        <v>6</v>
      </c>
      <c r="E16" s="18" t="n">
        <v>4430000</v>
      </c>
      <c r="F16" s="18"/>
      <c r="G16" s="18" t="n">
        <f aca="false">E16-IF(ISBLANK(F16),0,F16)</f>
        <v>4430000</v>
      </c>
      <c r="H16" s="19" t="n">
        <f aca="false">IFERROR(G16/G50*100,0)</f>
        <v>3.12544094821504</v>
      </c>
    </row>
    <row r="17" customFormat="false" ht="15" hidden="false" customHeight="false" outlineLevel="0" collapsed="false">
      <c r="A17" s="3" t="n">
        <v>16</v>
      </c>
      <c r="B17" s="3" t="s">
        <v>39</v>
      </c>
      <c r="C17" s="6" t="s">
        <v>40</v>
      </c>
      <c r="D17" s="4" t="s">
        <v>6</v>
      </c>
      <c r="E17" s="18" t="n">
        <v>4120000</v>
      </c>
      <c r="F17" s="18"/>
      <c r="G17" s="18" t="n">
        <f aca="false">E17-IF(ISBLANK(F17),0,F17)</f>
        <v>4120000</v>
      </c>
      <c r="H17" s="19" t="n">
        <f aca="false">IFERROR(G17/G50*100,0)</f>
        <v>2.9067306335544</v>
      </c>
    </row>
    <row r="18" customFormat="false" ht="15" hidden="false" customHeight="false" outlineLevel="0" collapsed="false">
      <c r="A18" s="3" t="n">
        <v>17</v>
      </c>
      <c r="B18" s="3" t="s">
        <v>176</v>
      </c>
      <c r="C18" s="6" t="s">
        <v>177</v>
      </c>
      <c r="D18" s="7" t="s">
        <v>167</v>
      </c>
      <c r="E18" s="18" t="n">
        <v>4080000</v>
      </c>
      <c r="F18" s="18"/>
      <c r="G18" s="18" t="n">
        <f aca="false">E18-IF(ISBLANK(F18),0,F18)</f>
        <v>4080000</v>
      </c>
      <c r="H18" s="19" t="n">
        <f aca="false">IFERROR(G18/G50*100,0)</f>
        <v>2.87850994779173</v>
      </c>
    </row>
    <row r="19" customFormat="false" ht="15" hidden="false" customHeight="false" outlineLevel="0" collapsed="false">
      <c r="A19" s="3" t="n">
        <v>18</v>
      </c>
      <c r="B19" s="3" t="s">
        <v>47</v>
      </c>
      <c r="C19" s="6" t="s">
        <v>48</v>
      </c>
      <c r="D19" s="4" t="s">
        <v>6</v>
      </c>
      <c r="E19" s="18" t="n">
        <v>4050000</v>
      </c>
      <c r="F19" s="20" t="n">
        <v>610000</v>
      </c>
      <c r="G19" s="18" t="n">
        <f aca="false">E19-IF(ISBLANK(F19),0,F19)</f>
        <v>3440000</v>
      </c>
      <c r="H19" s="19" t="n">
        <f aca="false">IFERROR(G19/G50*100,0)</f>
        <v>2.42697897558911</v>
      </c>
    </row>
    <row r="20" customFormat="false" ht="15" hidden="false" customHeight="false" outlineLevel="0" collapsed="false">
      <c r="A20" s="3" t="n">
        <v>19</v>
      </c>
      <c r="B20" s="3" t="s">
        <v>127</v>
      </c>
      <c r="C20" s="6" t="s">
        <v>128</v>
      </c>
      <c r="D20" s="4" t="s">
        <v>6</v>
      </c>
      <c r="E20" s="18" t="n">
        <v>4020000</v>
      </c>
      <c r="F20" s="18"/>
      <c r="G20" s="18" t="n">
        <f aca="false">E20-IF(ISBLANK(F20),0,F20)</f>
        <v>4020000</v>
      </c>
      <c r="H20" s="19" t="n">
        <f aca="false">IFERROR(G20/G50*100,0)</f>
        <v>2.83617891914774</v>
      </c>
    </row>
    <row r="21" customFormat="false" ht="15" hidden="false" customHeight="false" outlineLevel="0" collapsed="false">
      <c r="A21" s="3" t="n">
        <v>20</v>
      </c>
      <c r="B21" s="3" t="s">
        <v>143</v>
      </c>
      <c r="C21" s="6" t="s">
        <v>144</v>
      </c>
      <c r="D21" s="4" t="s">
        <v>6</v>
      </c>
      <c r="E21" s="18" t="n">
        <v>3550000</v>
      </c>
      <c r="F21" s="18"/>
      <c r="G21" s="18" t="n">
        <f aca="false">E21-IF(ISBLANK(F21),0,F21)</f>
        <v>3550000</v>
      </c>
      <c r="H21" s="19" t="n">
        <f aca="false">IFERROR(G21/G50*100,0)</f>
        <v>2.50458586143643</v>
      </c>
    </row>
    <row r="22" customFormat="false" ht="15" hidden="false" customHeight="false" outlineLevel="0" collapsed="false">
      <c r="A22" s="3" t="n">
        <v>21</v>
      </c>
      <c r="B22" s="3" t="s">
        <v>87</v>
      </c>
      <c r="C22" s="6" t="s">
        <v>88</v>
      </c>
      <c r="D22" s="4" t="s">
        <v>6</v>
      </c>
      <c r="E22" s="18" t="n">
        <v>3430000</v>
      </c>
      <c r="F22" s="18"/>
      <c r="G22" s="18" t="n">
        <f aca="false">E22-IF(ISBLANK(F22),0,F22)</f>
        <v>3430000</v>
      </c>
      <c r="H22" s="19" t="n">
        <f aca="false">IFERROR(G22/G50*100,0)</f>
        <v>2.41992380414844</v>
      </c>
    </row>
    <row r="23" customFormat="false" ht="15" hidden="false" customHeight="false" outlineLevel="0" collapsed="false">
      <c r="A23" s="3" t="n">
        <v>22</v>
      </c>
      <c r="B23" s="3" t="s">
        <v>147</v>
      </c>
      <c r="C23" s="6" t="s">
        <v>148</v>
      </c>
      <c r="D23" s="4" t="s">
        <v>6</v>
      </c>
      <c r="E23" s="18" t="n">
        <v>3260000</v>
      </c>
      <c r="F23" s="18"/>
      <c r="G23" s="18" t="n">
        <f aca="false">E23-IF(ISBLANK(F23),0,F23)</f>
        <v>3260000</v>
      </c>
      <c r="H23" s="19" t="n">
        <f aca="false">IFERROR(G23/G50*100,0)</f>
        <v>2.29998588965712</v>
      </c>
    </row>
    <row r="24" customFormat="false" ht="15" hidden="false" customHeight="false" outlineLevel="0" collapsed="false">
      <c r="A24" s="3" t="n">
        <v>23</v>
      </c>
      <c r="B24" s="3" t="s">
        <v>7</v>
      </c>
      <c r="C24" s="5" t="s">
        <v>8</v>
      </c>
      <c r="D24" s="4" t="s">
        <v>6</v>
      </c>
      <c r="E24" s="18" t="n">
        <v>3030000</v>
      </c>
      <c r="F24" s="18"/>
      <c r="G24" s="18" t="n">
        <f aca="false">E24-IF(ISBLANK(F24),0,F24)</f>
        <v>3030000</v>
      </c>
      <c r="H24" s="19" t="n">
        <f aca="false">IFERROR(G24/G50*100,0)</f>
        <v>2.1377169465218</v>
      </c>
    </row>
    <row r="25" customFormat="false" ht="15" hidden="false" customHeight="false" outlineLevel="0" collapsed="false">
      <c r="A25" s="3" t="n">
        <v>24</v>
      </c>
      <c r="B25" s="3" t="s">
        <v>11</v>
      </c>
      <c r="C25" s="6" t="s">
        <v>12</v>
      </c>
      <c r="D25" s="4" t="s">
        <v>6</v>
      </c>
      <c r="E25" s="18" t="n">
        <v>2950000</v>
      </c>
      <c r="F25" s="18"/>
      <c r="G25" s="18" t="n">
        <f aca="false">E25-IF(ISBLANK(F25),0,F25)</f>
        <v>2950000</v>
      </c>
      <c r="H25" s="19" t="n">
        <f aca="false">IFERROR(G25/G50*100,0)</f>
        <v>2.08127557499647</v>
      </c>
    </row>
    <row r="26" customFormat="false" ht="15" hidden="false" customHeight="false" outlineLevel="0" collapsed="false">
      <c r="A26" s="3" t="n">
        <v>25</v>
      </c>
      <c r="B26" s="3" t="s">
        <v>19</v>
      </c>
      <c r="C26" s="6" t="s">
        <v>20</v>
      </c>
      <c r="D26" s="4" t="s">
        <v>6</v>
      </c>
      <c r="E26" s="18" t="n">
        <v>2670000</v>
      </c>
      <c r="F26" s="18"/>
      <c r="G26" s="18" t="n">
        <f aca="false">E26-IF(ISBLANK(F26),0,F26)</f>
        <v>2670000</v>
      </c>
      <c r="H26" s="19" t="n">
        <f aca="false">IFERROR(G26/G50*100,0)</f>
        <v>1.88373077465782</v>
      </c>
    </row>
    <row r="27" customFormat="false" ht="15" hidden="false" customHeight="false" outlineLevel="0" collapsed="false">
      <c r="A27" s="3" t="n">
        <v>26</v>
      </c>
      <c r="B27" s="3" t="s">
        <v>91</v>
      </c>
      <c r="C27" s="6" t="s">
        <v>92</v>
      </c>
      <c r="D27" s="4" t="s">
        <v>6</v>
      </c>
      <c r="E27" s="18" t="n">
        <v>2580000</v>
      </c>
      <c r="F27" s="18"/>
      <c r="G27" s="18" t="n">
        <f aca="false">E27-IF(ISBLANK(F27),0,F27)</f>
        <v>2580000</v>
      </c>
      <c r="H27" s="19" t="n">
        <f aca="false">IFERROR(G27/G50*100,0)</f>
        <v>1.82023423169183</v>
      </c>
    </row>
    <row r="28" customFormat="false" ht="15" hidden="false" customHeight="false" outlineLevel="0" collapsed="false">
      <c r="A28" s="3" t="n">
        <v>27</v>
      </c>
      <c r="B28" s="3" t="s">
        <v>51</v>
      </c>
      <c r="C28" s="6" t="s">
        <v>52</v>
      </c>
      <c r="D28" s="4" t="s">
        <v>6</v>
      </c>
      <c r="E28" s="18" t="n">
        <v>2570000</v>
      </c>
      <c r="F28" s="18"/>
      <c r="G28" s="18" t="n">
        <f aca="false">E28-IF(ISBLANK(F28),0,F28)</f>
        <v>2570000</v>
      </c>
      <c r="H28" s="19" t="n">
        <f aca="false">IFERROR(G28/G50*100,0)</f>
        <v>1.81317906025116</v>
      </c>
    </row>
    <row r="29" customFormat="false" ht="15" hidden="false" customHeight="false" outlineLevel="0" collapsed="false">
      <c r="A29" s="3" t="n">
        <v>28</v>
      </c>
      <c r="B29" s="3" t="s">
        <v>185</v>
      </c>
      <c r="C29" s="6" t="s">
        <v>186</v>
      </c>
      <c r="D29" s="8" t="s">
        <v>180</v>
      </c>
      <c r="E29" s="18" t="n">
        <v>2560000</v>
      </c>
      <c r="F29" s="20" t="n">
        <v>380000</v>
      </c>
      <c r="G29" s="18" t="n">
        <f aca="false">E29-IF(ISBLANK(F29),0,F29)</f>
        <v>2180000</v>
      </c>
      <c r="H29" s="19" t="n">
        <f aca="false">IFERROR(G29/G50*100,0)</f>
        <v>1.53802737406519</v>
      </c>
    </row>
    <row r="30" customFormat="false" ht="15" hidden="false" customHeight="false" outlineLevel="0" collapsed="false">
      <c r="A30" s="3" t="n">
        <v>29</v>
      </c>
      <c r="B30" s="3" t="s">
        <v>15</v>
      </c>
      <c r="C30" s="6" t="s">
        <v>16</v>
      </c>
      <c r="D30" s="4" t="s">
        <v>6</v>
      </c>
      <c r="E30" s="18" t="n">
        <v>2520000</v>
      </c>
      <c r="F30" s="18"/>
      <c r="G30" s="18" t="n">
        <f aca="false">E30-IF(ISBLANK(F30),0,F30)</f>
        <v>2520000</v>
      </c>
      <c r="H30" s="19" t="n">
        <f aca="false">IFERROR(G30/G50*100,0)</f>
        <v>1.77790320304783</v>
      </c>
    </row>
    <row r="31" customFormat="false" ht="15" hidden="false" customHeight="false" outlineLevel="0" collapsed="false">
      <c r="A31" s="3" t="n">
        <v>30</v>
      </c>
      <c r="B31" s="3" t="s">
        <v>43</v>
      </c>
      <c r="C31" s="6" t="s">
        <v>44</v>
      </c>
      <c r="D31" s="4" t="s">
        <v>6</v>
      </c>
      <c r="E31" s="18" t="n">
        <v>2380000</v>
      </c>
      <c r="F31" s="18"/>
      <c r="G31" s="18" t="n">
        <f aca="false">E31-IF(ISBLANK(F31),0,F31)</f>
        <v>2380000</v>
      </c>
      <c r="H31" s="19" t="n">
        <f aca="false">IFERROR(G31/G50*100,0)</f>
        <v>1.67913080287851</v>
      </c>
    </row>
    <row r="32" customFormat="false" ht="15" hidden="false" customHeight="false" outlineLevel="0" collapsed="false">
      <c r="A32" s="3" t="n">
        <v>31</v>
      </c>
      <c r="B32" s="3" t="s">
        <v>35</v>
      </c>
      <c r="C32" s="6" t="s">
        <v>36</v>
      </c>
      <c r="D32" s="4" t="s">
        <v>6</v>
      </c>
      <c r="E32" s="18" t="n">
        <v>2300000</v>
      </c>
      <c r="F32" s="18"/>
      <c r="G32" s="18" t="n">
        <f aca="false">E32-IF(ISBLANK(F32),0,F32)</f>
        <v>2300000</v>
      </c>
      <c r="H32" s="19" t="n">
        <f aca="false">IFERROR(G32/G50*100,0)</f>
        <v>1.62268943135318</v>
      </c>
    </row>
    <row r="33" customFormat="false" ht="15" hidden="false" customHeight="false" outlineLevel="0" collapsed="false">
      <c r="A33" s="3" t="n">
        <v>32</v>
      </c>
      <c r="B33" s="3" t="s">
        <v>63</v>
      </c>
      <c r="C33" s="6" t="s">
        <v>64</v>
      </c>
      <c r="D33" s="4" t="s">
        <v>6</v>
      </c>
      <c r="E33" s="18" t="n">
        <v>2230000</v>
      </c>
      <c r="F33" s="18"/>
      <c r="G33" s="18" t="n">
        <f aca="false">E33-IF(ISBLANK(F33),0,F33)</f>
        <v>2230000</v>
      </c>
      <c r="H33" s="19" t="n">
        <f aca="false">IFERROR(G33/G50*100,0)</f>
        <v>1.57330323126852</v>
      </c>
    </row>
    <row r="34" customFormat="false" ht="15" hidden="false" customHeight="false" outlineLevel="0" collapsed="false">
      <c r="A34" s="3" t="n">
        <v>33</v>
      </c>
      <c r="B34" s="3" t="s">
        <v>27</v>
      </c>
      <c r="C34" s="6" t="s">
        <v>28</v>
      </c>
      <c r="D34" s="4" t="s">
        <v>6</v>
      </c>
      <c r="E34" s="18" t="n">
        <v>2200000</v>
      </c>
      <c r="F34" s="18"/>
      <c r="G34" s="18" t="n">
        <f aca="false">E34-IF(ISBLANK(F34),0,F34)</f>
        <v>2200000</v>
      </c>
      <c r="H34" s="19" t="n">
        <f aca="false">IFERROR(G34/G50*100,0)</f>
        <v>1.55213771694652</v>
      </c>
    </row>
    <row r="35" customFormat="false" ht="15" hidden="false" customHeight="false" outlineLevel="0" collapsed="false">
      <c r="A35" s="3" t="n">
        <v>34</v>
      </c>
      <c r="B35" s="3" t="s">
        <v>99</v>
      </c>
      <c r="C35" s="6" t="s">
        <v>100</v>
      </c>
      <c r="D35" s="4" t="s">
        <v>6</v>
      </c>
      <c r="E35" s="18" t="n">
        <v>2060000</v>
      </c>
      <c r="F35" s="20" t="n">
        <v>310000</v>
      </c>
      <c r="G35" s="18" t="n">
        <f aca="false">E35-IF(ISBLANK(F35),0,F35)</f>
        <v>1750000</v>
      </c>
      <c r="H35" s="19" t="n">
        <f aca="false">IFERROR(G35/G50*100,0)</f>
        <v>1.23465500211655</v>
      </c>
    </row>
    <row r="36" customFormat="false" ht="15" hidden="false" customHeight="false" outlineLevel="0" collapsed="false">
      <c r="A36" s="3" t="n">
        <v>35</v>
      </c>
      <c r="B36" s="3" t="s">
        <v>103</v>
      </c>
      <c r="C36" s="6" t="s">
        <v>104</v>
      </c>
      <c r="D36" s="4" t="s">
        <v>6</v>
      </c>
      <c r="E36" s="18" t="n">
        <v>1850000</v>
      </c>
      <c r="F36" s="18"/>
      <c r="G36" s="18" t="n">
        <f aca="false">E36-IF(ISBLANK(F36),0,F36)</f>
        <v>1850000</v>
      </c>
      <c r="H36" s="19" t="n">
        <f aca="false">IFERROR(G36/G50*100,0)</f>
        <v>1.30520671652321</v>
      </c>
    </row>
    <row r="37" customFormat="false" ht="15" hidden="false" customHeight="false" outlineLevel="0" collapsed="false">
      <c r="A37" s="3" t="n">
        <v>36</v>
      </c>
      <c r="B37" s="3" t="s">
        <v>139</v>
      </c>
      <c r="C37" s="6" t="s">
        <v>140</v>
      </c>
      <c r="D37" s="4" t="s">
        <v>6</v>
      </c>
      <c r="E37" s="18" t="n">
        <v>1500000</v>
      </c>
      <c r="F37" s="18"/>
      <c r="G37" s="18" t="n">
        <f aca="false">E37-IF(ISBLANK(F37),0,F37)</f>
        <v>1500000</v>
      </c>
      <c r="H37" s="19" t="n">
        <f aca="false">IFERROR(G37/G50*100,0)</f>
        <v>1.0582757160999</v>
      </c>
    </row>
    <row r="38" customFormat="false" ht="15" hidden="false" customHeight="false" outlineLevel="0" collapsed="false">
      <c r="A38" s="3" t="n">
        <v>37</v>
      </c>
      <c r="B38" s="3" t="s">
        <v>163</v>
      </c>
      <c r="C38" s="6" t="s">
        <v>164</v>
      </c>
      <c r="D38" s="4" t="s">
        <v>6</v>
      </c>
      <c r="E38" s="18" t="n">
        <v>1330000</v>
      </c>
      <c r="F38" s="18"/>
      <c r="G38" s="18" t="n">
        <f aca="false">E38-IF(ISBLANK(F38),0,F38)</f>
        <v>1330000</v>
      </c>
      <c r="H38" s="19" t="n">
        <f aca="false">IFERROR(G38/G50*100,0)</f>
        <v>0.938337801608579</v>
      </c>
    </row>
    <row r="39" customFormat="false" ht="15" hidden="false" customHeight="false" outlineLevel="0" collapsed="false">
      <c r="A39" s="3" t="n">
        <v>38</v>
      </c>
      <c r="B39" s="3" t="s">
        <v>59</v>
      </c>
      <c r="C39" s="6" t="s">
        <v>60</v>
      </c>
      <c r="D39" s="4" t="s">
        <v>6</v>
      </c>
      <c r="E39" s="18" t="n">
        <v>980000</v>
      </c>
      <c r="F39" s="18"/>
      <c r="G39" s="18" t="n">
        <f aca="false">E39-IF(ISBLANK(F39),0,F39)</f>
        <v>980000</v>
      </c>
      <c r="H39" s="19" t="n">
        <f aca="false">IFERROR(G39/G50*100,0)</f>
        <v>0.691406801185269</v>
      </c>
    </row>
    <row r="40" customFormat="false" ht="15" hidden="false" customHeight="false" outlineLevel="0" collapsed="false">
      <c r="A40" s="3" t="n">
        <v>39</v>
      </c>
      <c r="B40" s="3" t="s">
        <v>181</v>
      </c>
      <c r="C40" s="6" t="s">
        <v>182</v>
      </c>
      <c r="D40" s="8" t="s">
        <v>180</v>
      </c>
      <c r="E40" s="18" t="n">
        <v>940000</v>
      </c>
      <c r="F40" s="18"/>
      <c r="G40" s="18" t="n">
        <f aca="false">E40-IF(ISBLANK(F40),0,F40)</f>
        <v>940000</v>
      </c>
      <c r="H40" s="19" t="n">
        <f aca="false">IFERROR(G40/G50*100,0)</f>
        <v>0.663186115422605</v>
      </c>
    </row>
    <row r="41" customFormat="false" ht="15" hidden="false" customHeight="false" outlineLevel="0" collapsed="false">
      <c r="A41" s="3" t="n">
        <v>40</v>
      </c>
      <c r="B41" s="3" t="s">
        <v>123</v>
      </c>
      <c r="C41" s="6" t="s">
        <v>124</v>
      </c>
      <c r="D41" s="4" t="s">
        <v>6</v>
      </c>
      <c r="E41" s="18" t="n">
        <v>910000</v>
      </c>
      <c r="F41" s="18"/>
      <c r="G41" s="18" t="n">
        <f aca="false">E41-IF(ISBLANK(F41),0,F41)</f>
        <v>910000</v>
      </c>
      <c r="H41" s="19" t="n">
        <f aca="false">IFERROR(G41/G50*100,0)</f>
        <v>0.642020601100607</v>
      </c>
    </row>
    <row r="42" customFormat="false" ht="15" hidden="false" customHeight="false" outlineLevel="0" collapsed="false">
      <c r="A42" s="3" t="n">
        <v>41</v>
      </c>
      <c r="B42" s="3" t="s">
        <v>79</v>
      </c>
      <c r="C42" s="6" t="s">
        <v>80</v>
      </c>
      <c r="D42" s="4" t="s">
        <v>6</v>
      </c>
      <c r="E42" s="18" t="n">
        <v>890000</v>
      </c>
      <c r="F42" s="18"/>
      <c r="G42" s="18" t="n">
        <f aca="false">E42-IF(ISBLANK(F42),0,F42)</f>
        <v>890000</v>
      </c>
      <c r="H42" s="19" t="n">
        <f aca="false">IFERROR(G42/G50*100,0)</f>
        <v>0.627910258219275</v>
      </c>
    </row>
    <row r="43" customFormat="false" ht="15" hidden="false" customHeight="false" outlineLevel="0" collapsed="false">
      <c r="A43" s="3" t="n">
        <v>42</v>
      </c>
      <c r="B43" s="3" t="s">
        <v>135</v>
      </c>
      <c r="C43" s="6" t="s">
        <v>136</v>
      </c>
      <c r="D43" s="4" t="s">
        <v>6</v>
      </c>
      <c r="E43" s="18" t="n">
        <v>890000</v>
      </c>
      <c r="F43" s="18"/>
      <c r="G43" s="18" t="n">
        <f aca="false">E43-IF(ISBLANK(F43),0,F43)</f>
        <v>890000</v>
      </c>
      <c r="H43" s="19" t="n">
        <f aca="false">IFERROR(G43/G50*100,0)</f>
        <v>0.627910258219275</v>
      </c>
    </row>
    <row r="44" customFormat="false" ht="15" hidden="false" customHeight="false" outlineLevel="0" collapsed="false">
      <c r="A44" s="3" t="n">
        <v>43</v>
      </c>
      <c r="B44" s="3" t="s">
        <v>75</v>
      </c>
      <c r="C44" s="6" t="s">
        <v>76</v>
      </c>
      <c r="D44" s="4" t="s">
        <v>6</v>
      </c>
      <c r="E44" s="18" t="n">
        <v>850000</v>
      </c>
      <c r="F44" s="18"/>
      <c r="G44" s="18" t="n">
        <f aca="false">E44-IF(ISBLANK(F44),0,F44)</f>
        <v>850000</v>
      </c>
      <c r="H44" s="19" t="n">
        <f aca="false">IFERROR(G44/G50*100,0)</f>
        <v>0.599689572456611</v>
      </c>
    </row>
    <row r="45" customFormat="false" ht="15" hidden="false" customHeight="false" outlineLevel="0" collapsed="false">
      <c r="A45" s="3" t="n">
        <v>44</v>
      </c>
      <c r="B45" s="3" t="s">
        <v>95</v>
      </c>
      <c r="C45" s="6" t="s">
        <v>96</v>
      </c>
      <c r="D45" s="4" t="s">
        <v>6</v>
      </c>
      <c r="E45" s="18" t="n">
        <v>850000</v>
      </c>
      <c r="F45" s="18"/>
      <c r="G45" s="18" t="n">
        <f aca="false">E45-IF(ISBLANK(F45),0,F45)</f>
        <v>850000</v>
      </c>
      <c r="H45" s="19" t="n">
        <f aca="false">IFERROR(G45/G50*100,0)</f>
        <v>0.599689572456611</v>
      </c>
    </row>
    <row r="46" customFormat="false" ht="15" hidden="false" customHeight="false" outlineLevel="0" collapsed="false">
      <c r="A46" s="3" t="n">
        <v>45</v>
      </c>
      <c r="B46" s="3" t="s">
        <v>31</v>
      </c>
      <c r="C46" s="6" t="s">
        <v>32</v>
      </c>
      <c r="D46" s="4" t="s">
        <v>6</v>
      </c>
      <c r="E46" s="18" t="n">
        <v>680000</v>
      </c>
      <c r="F46" s="20" t="n">
        <v>100000</v>
      </c>
      <c r="G46" s="18" t="n">
        <f aca="false">E46-IF(ISBLANK(F46),0,F46)</f>
        <v>580000</v>
      </c>
      <c r="H46" s="19" t="n">
        <f aca="false">IFERROR(G46/G50*100,0)</f>
        <v>0.409199943558629</v>
      </c>
    </row>
    <row r="47" customFormat="false" ht="15" hidden="false" customHeight="false" outlineLevel="0" collapsed="false">
      <c r="A47" s="3" t="n">
        <v>46</v>
      </c>
      <c r="B47" s="3" t="s">
        <v>190</v>
      </c>
      <c r="C47" s="5" t="s">
        <v>191</v>
      </c>
      <c r="D47" s="9" t="s">
        <v>189</v>
      </c>
      <c r="E47" s="18" t="n">
        <v>590000</v>
      </c>
      <c r="F47" s="18"/>
      <c r="G47" s="18" t="n">
        <f aca="false">E47-IF(ISBLANK(F47),0,F47)</f>
        <v>590000</v>
      </c>
      <c r="H47" s="19" t="n">
        <f aca="false">IFERROR(G47/G50*100,0)</f>
        <v>0.416255114999294</v>
      </c>
    </row>
    <row r="48" customFormat="false" ht="15" hidden="false" customHeight="false" outlineLevel="0" collapsed="false">
      <c r="A48" s="3" t="n">
        <v>47</v>
      </c>
      <c r="B48" s="3" t="s">
        <v>194</v>
      </c>
      <c r="C48" s="5" t="s">
        <v>195</v>
      </c>
      <c r="D48" s="9" t="s">
        <v>189</v>
      </c>
      <c r="E48" s="18" t="n">
        <v>570000</v>
      </c>
      <c r="F48" s="18"/>
      <c r="G48" s="18" t="n">
        <f aca="false">E48-IF(ISBLANK(F48),0,F48)</f>
        <v>570000</v>
      </c>
      <c r="H48" s="19" t="n">
        <f aca="false">IFERROR(G48/G50*100,0)</f>
        <v>0.402144772117962</v>
      </c>
    </row>
    <row r="49" customFormat="false" ht="15" hidden="false" customHeight="false" outlineLevel="0" collapsed="false">
      <c r="A49" s="3" t="n">
        <v>48</v>
      </c>
      <c r="B49" s="3" t="s">
        <v>198</v>
      </c>
      <c r="C49" s="5" t="s">
        <v>199</v>
      </c>
      <c r="D49" s="9" t="s">
        <v>189</v>
      </c>
      <c r="E49" s="18" t="n">
        <v>530000</v>
      </c>
      <c r="F49" s="18"/>
      <c r="G49" s="18" t="n">
        <f aca="false">E49-IF(ISBLANK(F49),0,F49)</f>
        <v>530000</v>
      </c>
      <c r="H49" s="19" t="n">
        <f aca="false">IFERROR(G49/G50*100,0)</f>
        <v>0.373924086355298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143890000</v>
      </c>
      <c r="F50" s="17" t="n">
        <f aca="false">SUM(F2:F49)</f>
        <v>2150000</v>
      </c>
      <c r="G50" s="17" t="n">
        <f aca="false">SUM(G2:G49)</f>
        <v>141740000</v>
      </c>
      <c r="H50" s="2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8" min="8" style="0" width="12"/>
  </cols>
  <sheetData>
    <row r="1" customFormat="false" ht="17.15" hidden="false" customHeight="false" outlineLevel="0" collapsed="false">
      <c r="A1" s="2" t="s">
        <v>214</v>
      </c>
      <c r="B1" s="2" t="s">
        <v>2</v>
      </c>
      <c r="C1" s="2" t="s">
        <v>3</v>
      </c>
      <c r="D1" s="2" t="s">
        <v>1</v>
      </c>
      <c r="E1" s="2" t="s">
        <v>215</v>
      </c>
      <c r="F1" s="2" t="s">
        <v>216</v>
      </c>
      <c r="G1" s="2" t="s">
        <v>217</v>
      </c>
      <c r="H1" s="2" t="s">
        <v>218</v>
      </c>
    </row>
    <row r="2" customFormat="false" ht="15" hidden="false" customHeight="false" outlineLevel="0" collapsed="false">
      <c r="A2" s="3" t="n">
        <v>1</v>
      </c>
      <c r="B2" s="3" t="s">
        <v>147</v>
      </c>
      <c r="C2" s="6" t="s">
        <v>148</v>
      </c>
      <c r="D2" s="4" t="s">
        <v>6</v>
      </c>
      <c r="E2" s="18" t="n">
        <v>4120000</v>
      </c>
      <c r="F2" s="18"/>
      <c r="G2" s="18" t="n">
        <f aca="false">E2-IF(ISBLANK(F2),0,F2)</f>
        <v>4120000</v>
      </c>
      <c r="H2" s="19" t="n">
        <f aca="false">IFERROR(G2/G50*100,0)</f>
        <v>3.6697247706422</v>
      </c>
    </row>
    <row r="3" customFormat="false" ht="15" hidden="false" customHeight="false" outlineLevel="0" collapsed="false">
      <c r="A3" s="3" t="n">
        <v>2</v>
      </c>
      <c r="B3" s="3" t="s">
        <v>7</v>
      </c>
      <c r="C3" s="5" t="s">
        <v>8</v>
      </c>
      <c r="D3" s="4" t="s">
        <v>6</v>
      </c>
      <c r="E3" s="18" t="n">
        <v>3940000</v>
      </c>
      <c r="F3" s="18"/>
      <c r="G3" s="18" t="n">
        <f aca="false">E3-IF(ISBLANK(F3),0,F3)</f>
        <v>3940000</v>
      </c>
      <c r="H3" s="19" t="n">
        <f aca="false">IFERROR(G3/G50*100,0)</f>
        <v>3.50939698940055</v>
      </c>
    </row>
    <row r="4" customFormat="false" ht="15" hidden="false" customHeight="false" outlineLevel="0" collapsed="false">
      <c r="A4" s="3" t="n">
        <v>3</v>
      </c>
      <c r="B4" s="3" t="s">
        <v>11</v>
      </c>
      <c r="C4" s="6" t="s">
        <v>12</v>
      </c>
      <c r="D4" s="4" t="s">
        <v>6</v>
      </c>
      <c r="E4" s="18" t="n">
        <v>3890000</v>
      </c>
      <c r="F4" s="18"/>
      <c r="G4" s="18" t="n">
        <f aca="false">E4-IF(ISBLANK(F4),0,F4)</f>
        <v>3890000</v>
      </c>
      <c r="H4" s="19" t="n">
        <f aca="false">IFERROR(G4/G50*100,0)</f>
        <v>3.46486149461121</v>
      </c>
    </row>
    <row r="5" customFormat="false" ht="15" hidden="false" customHeight="false" outlineLevel="0" collapsed="false">
      <c r="A5" s="3" t="n">
        <v>4</v>
      </c>
      <c r="B5" s="3" t="s">
        <v>19</v>
      </c>
      <c r="C5" s="6" t="s">
        <v>20</v>
      </c>
      <c r="D5" s="4" t="s">
        <v>6</v>
      </c>
      <c r="E5" s="18" t="n">
        <v>3680000</v>
      </c>
      <c r="F5" s="18"/>
      <c r="G5" s="18" t="n">
        <f aca="false">E5-IF(ISBLANK(F5),0,F5)</f>
        <v>3680000</v>
      </c>
      <c r="H5" s="19" t="n">
        <f aca="false">IFERROR(G5/G50*100,0)</f>
        <v>3.27781241649595</v>
      </c>
    </row>
    <row r="6" customFormat="false" ht="15" hidden="false" customHeight="false" outlineLevel="0" collapsed="false">
      <c r="A6" s="3" t="n">
        <v>5</v>
      </c>
      <c r="B6" s="3" t="s">
        <v>91</v>
      </c>
      <c r="C6" s="6" t="s">
        <v>92</v>
      </c>
      <c r="D6" s="4" t="s">
        <v>6</v>
      </c>
      <c r="E6" s="18" t="n">
        <v>3610000</v>
      </c>
      <c r="F6" s="18"/>
      <c r="G6" s="18" t="n">
        <f aca="false">E6-IF(ISBLANK(F6),0,F6)</f>
        <v>3610000</v>
      </c>
      <c r="H6" s="19" t="n">
        <f aca="false">IFERROR(G6/G50*100,0)</f>
        <v>3.21546272379086</v>
      </c>
    </row>
    <row r="7" customFormat="false" ht="15" hidden="false" customHeight="false" outlineLevel="0" collapsed="false">
      <c r="A7" s="3" t="n">
        <v>6</v>
      </c>
      <c r="B7" s="3" t="s">
        <v>51</v>
      </c>
      <c r="C7" s="6" t="s">
        <v>52</v>
      </c>
      <c r="D7" s="4" t="s">
        <v>6</v>
      </c>
      <c r="E7" s="18" t="n">
        <v>3600000</v>
      </c>
      <c r="F7" s="18"/>
      <c r="G7" s="18" t="n">
        <f aca="false">E7-IF(ISBLANK(F7),0,F7)</f>
        <v>3600000</v>
      </c>
      <c r="H7" s="19" t="n">
        <f aca="false">IFERROR(G7/G50*100,0)</f>
        <v>3.20655562483299</v>
      </c>
    </row>
    <row r="8" customFormat="false" ht="15" hidden="false" customHeight="false" outlineLevel="0" collapsed="false">
      <c r="A8" s="3" t="n">
        <v>7</v>
      </c>
      <c r="B8" s="3" t="s">
        <v>185</v>
      </c>
      <c r="C8" s="6" t="s">
        <v>186</v>
      </c>
      <c r="D8" s="8" t="s">
        <v>180</v>
      </c>
      <c r="E8" s="18" t="n">
        <v>3600000</v>
      </c>
      <c r="F8" s="18"/>
      <c r="G8" s="18" t="n">
        <f aca="false">E8-IF(ISBLANK(F8),0,F8)</f>
        <v>3600000</v>
      </c>
      <c r="H8" s="19" t="n">
        <f aca="false">IFERROR(G8/G50*100,0)</f>
        <v>3.20655562483299</v>
      </c>
    </row>
    <row r="9" customFormat="false" ht="15" hidden="false" customHeight="false" outlineLevel="0" collapsed="false">
      <c r="A9" s="3" t="n">
        <v>8</v>
      </c>
      <c r="B9" s="3" t="s">
        <v>15</v>
      </c>
      <c r="C9" s="6" t="s">
        <v>16</v>
      </c>
      <c r="D9" s="4" t="s">
        <v>6</v>
      </c>
      <c r="E9" s="18" t="n">
        <v>3570000</v>
      </c>
      <c r="F9" s="18"/>
      <c r="G9" s="18" t="n">
        <f aca="false">E9-IF(ISBLANK(F9),0,F9)</f>
        <v>3570000</v>
      </c>
      <c r="H9" s="19" t="n">
        <f aca="false">IFERROR(G9/G50*100,0)</f>
        <v>3.17983432795938</v>
      </c>
    </row>
    <row r="10" customFormat="false" ht="15" hidden="false" customHeight="false" outlineLevel="0" collapsed="false">
      <c r="A10" s="3" t="n">
        <v>9</v>
      </c>
      <c r="B10" s="3" t="s">
        <v>43</v>
      </c>
      <c r="C10" s="6" t="s">
        <v>44</v>
      </c>
      <c r="D10" s="4" t="s">
        <v>6</v>
      </c>
      <c r="E10" s="18" t="n">
        <v>3460000</v>
      </c>
      <c r="F10" s="18"/>
      <c r="G10" s="18" t="n">
        <f aca="false">E10-IF(ISBLANK(F10),0,F10)</f>
        <v>3460000</v>
      </c>
      <c r="H10" s="19" t="n">
        <f aca="false">IFERROR(G10/G50*100,0)</f>
        <v>3.08185623942282</v>
      </c>
    </row>
    <row r="11" customFormat="false" ht="15" hidden="false" customHeight="false" outlineLevel="0" collapsed="false">
      <c r="A11" s="3" t="n">
        <v>10</v>
      </c>
      <c r="B11" s="3" t="s">
        <v>35</v>
      </c>
      <c r="C11" s="6" t="s">
        <v>36</v>
      </c>
      <c r="D11" s="4" t="s">
        <v>6</v>
      </c>
      <c r="E11" s="18" t="n">
        <v>3400000</v>
      </c>
      <c r="F11" s="18"/>
      <c r="G11" s="18" t="n">
        <f aca="false">E11-IF(ISBLANK(F11),0,F11)</f>
        <v>3400000</v>
      </c>
      <c r="H11" s="19" t="n">
        <f aca="false">IFERROR(G11/G50*100,0)</f>
        <v>3.0284136456756</v>
      </c>
    </row>
    <row r="12" customFormat="false" ht="15" hidden="false" customHeight="false" outlineLevel="0" collapsed="false">
      <c r="A12" s="3" t="n">
        <v>11</v>
      </c>
      <c r="B12" s="3" t="s">
        <v>63</v>
      </c>
      <c r="C12" s="6" t="s">
        <v>64</v>
      </c>
      <c r="D12" s="4" t="s">
        <v>6</v>
      </c>
      <c r="E12" s="18" t="n">
        <v>3340000</v>
      </c>
      <c r="F12" s="18"/>
      <c r="G12" s="18" t="n">
        <f aca="false">E12-IF(ISBLANK(F12),0,F12)</f>
        <v>3340000</v>
      </c>
      <c r="H12" s="19" t="n">
        <f aca="false">IFERROR(G12/G50*100,0)</f>
        <v>2.97497105192839</v>
      </c>
    </row>
    <row r="13" customFormat="false" ht="15" hidden="false" customHeight="false" outlineLevel="0" collapsed="false">
      <c r="A13" s="3" t="n">
        <v>12</v>
      </c>
      <c r="B13" s="3" t="s">
        <v>27</v>
      </c>
      <c r="C13" s="6" t="s">
        <v>28</v>
      </c>
      <c r="D13" s="4" t="s">
        <v>6</v>
      </c>
      <c r="E13" s="18" t="n">
        <v>3320000</v>
      </c>
      <c r="F13" s="18"/>
      <c r="G13" s="18" t="n">
        <f aca="false">E13-IF(ISBLANK(F13),0,F13)</f>
        <v>3320000</v>
      </c>
      <c r="H13" s="19" t="n">
        <f aca="false">IFERROR(G13/G50*100,0)</f>
        <v>2.95715685401265</v>
      </c>
    </row>
    <row r="14" customFormat="false" ht="15" hidden="false" customHeight="false" outlineLevel="0" collapsed="false">
      <c r="A14" s="3" t="n">
        <v>13</v>
      </c>
      <c r="B14" s="3" t="s">
        <v>99</v>
      </c>
      <c r="C14" s="6" t="s">
        <v>100</v>
      </c>
      <c r="D14" s="4" t="s">
        <v>6</v>
      </c>
      <c r="E14" s="18" t="n">
        <v>3220000</v>
      </c>
      <c r="F14" s="18"/>
      <c r="G14" s="18" t="n">
        <f aca="false">E14-IF(ISBLANK(F14),0,F14)</f>
        <v>3220000</v>
      </c>
      <c r="H14" s="19" t="n">
        <f aca="false">IFERROR(G14/G50*100,0)</f>
        <v>2.86808586443395</v>
      </c>
    </row>
    <row r="15" customFormat="false" ht="15" hidden="false" customHeight="false" outlineLevel="0" collapsed="false">
      <c r="A15" s="3" t="n">
        <v>14</v>
      </c>
      <c r="B15" s="3" t="s">
        <v>103</v>
      </c>
      <c r="C15" s="6" t="s">
        <v>104</v>
      </c>
      <c r="D15" s="4" t="s">
        <v>6</v>
      </c>
      <c r="E15" s="18" t="n">
        <v>3060000</v>
      </c>
      <c r="F15" s="18"/>
      <c r="G15" s="18" t="n">
        <f aca="false">E15-IF(ISBLANK(F15),0,F15)</f>
        <v>3060000</v>
      </c>
      <c r="H15" s="19" t="n">
        <f aca="false">IFERROR(G15/G50*100,0)</f>
        <v>2.72557228110804</v>
      </c>
    </row>
    <row r="16" customFormat="false" ht="15" hidden="false" customHeight="false" outlineLevel="0" collapsed="false">
      <c r="A16" s="3" t="n">
        <v>15</v>
      </c>
      <c r="B16" s="3" t="s">
        <v>139</v>
      </c>
      <c r="C16" s="6" t="s">
        <v>140</v>
      </c>
      <c r="D16" s="4" t="s">
        <v>6</v>
      </c>
      <c r="E16" s="18" t="n">
        <v>2800000</v>
      </c>
      <c r="F16" s="18"/>
      <c r="G16" s="18" t="n">
        <f aca="false">E16-IF(ISBLANK(F16),0,F16)</f>
        <v>2800000</v>
      </c>
      <c r="H16" s="19" t="n">
        <f aca="false">IFERROR(G16/G50*100,0)</f>
        <v>2.49398770820344</v>
      </c>
    </row>
    <row r="17" customFormat="false" ht="15" hidden="false" customHeight="false" outlineLevel="0" collapsed="false">
      <c r="A17" s="3" t="n">
        <v>16</v>
      </c>
      <c r="B17" s="3" t="s">
        <v>163</v>
      </c>
      <c r="C17" s="6" t="s">
        <v>164</v>
      </c>
      <c r="D17" s="4" t="s">
        <v>6</v>
      </c>
      <c r="E17" s="18" t="n">
        <v>2670000</v>
      </c>
      <c r="F17" s="18"/>
      <c r="G17" s="18" t="n">
        <f aca="false">E17-IF(ISBLANK(F17),0,F17)</f>
        <v>2670000</v>
      </c>
      <c r="H17" s="19" t="n">
        <f aca="false">IFERROR(G17/G50*100,0)</f>
        <v>2.37819542175114</v>
      </c>
    </row>
    <row r="18" customFormat="false" ht="15" hidden="false" customHeight="false" outlineLevel="0" collapsed="false">
      <c r="A18" s="3" t="n">
        <v>17</v>
      </c>
      <c r="B18" s="3" t="s">
        <v>176</v>
      </c>
      <c r="C18" s="6" t="s">
        <v>177</v>
      </c>
      <c r="D18" s="7" t="s">
        <v>167</v>
      </c>
      <c r="E18" s="18" t="n">
        <v>2510000</v>
      </c>
      <c r="F18" s="18"/>
      <c r="G18" s="18" t="n">
        <f aca="false">E18-IF(ISBLANK(F18),0,F18)</f>
        <v>2510000</v>
      </c>
      <c r="H18" s="19" t="n">
        <f aca="false">IFERROR(G18/G50*100,0)</f>
        <v>2.23568183842523</v>
      </c>
    </row>
    <row r="19" customFormat="false" ht="15" hidden="false" customHeight="false" outlineLevel="0" collapsed="false">
      <c r="A19" s="3" t="n">
        <v>18</v>
      </c>
      <c r="B19" s="3" t="s">
        <v>59</v>
      </c>
      <c r="C19" s="6" t="s">
        <v>60</v>
      </c>
      <c r="D19" s="4" t="s">
        <v>6</v>
      </c>
      <c r="E19" s="18" t="n">
        <v>2410000</v>
      </c>
      <c r="F19" s="18"/>
      <c r="G19" s="18" t="n">
        <f aca="false">E19-IF(ISBLANK(F19),0,F19)</f>
        <v>2410000</v>
      </c>
      <c r="H19" s="19" t="n">
        <f aca="false">IFERROR(G19/G50*100,0)</f>
        <v>2.14661084884653</v>
      </c>
    </row>
    <row r="20" customFormat="false" ht="15" hidden="false" customHeight="false" outlineLevel="0" collapsed="false">
      <c r="A20" s="3" t="n">
        <v>19</v>
      </c>
      <c r="B20" s="3" t="s">
        <v>181</v>
      </c>
      <c r="C20" s="6" t="s">
        <v>182</v>
      </c>
      <c r="D20" s="8" t="s">
        <v>180</v>
      </c>
      <c r="E20" s="18" t="n">
        <v>2380000</v>
      </c>
      <c r="F20" s="18"/>
      <c r="G20" s="18" t="n">
        <f aca="false">E20-IF(ISBLANK(F20),0,F20)</f>
        <v>2380000</v>
      </c>
      <c r="H20" s="19" t="n">
        <f aca="false">IFERROR(G20/G50*100,0)</f>
        <v>2.11988955197292</v>
      </c>
    </row>
    <row r="21" customFormat="false" ht="15" hidden="false" customHeight="false" outlineLevel="0" collapsed="false">
      <c r="A21" s="3" t="n">
        <v>20</v>
      </c>
      <c r="B21" s="3" t="s">
        <v>123</v>
      </c>
      <c r="C21" s="6" t="s">
        <v>124</v>
      </c>
      <c r="D21" s="4" t="s">
        <v>6</v>
      </c>
      <c r="E21" s="18" t="n">
        <v>2360000</v>
      </c>
      <c r="F21" s="18"/>
      <c r="G21" s="18" t="n">
        <f aca="false">E21-IF(ISBLANK(F21),0,F21)</f>
        <v>2360000</v>
      </c>
      <c r="H21" s="19" t="n">
        <f aca="false">IFERROR(G21/G50*100,0)</f>
        <v>2.10207535405718</v>
      </c>
    </row>
    <row r="22" customFormat="false" ht="15" hidden="false" customHeight="false" outlineLevel="0" collapsed="false">
      <c r="A22" s="3" t="n">
        <v>21</v>
      </c>
      <c r="B22" s="3" t="s">
        <v>79</v>
      </c>
      <c r="C22" s="6" t="s">
        <v>80</v>
      </c>
      <c r="D22" s="4" t="s">
        <v>6</v>
      </c>
      <c r="E22" s="18" t="n">
        <v>2340000</v>
      </c>
      <c r="F22" s="18"/>
      <c r="G22" s="18" t="n">
        <f aca="false">E22-IF(ISBLANK(F22),0,F22)</f>
        <v>2340000</v>
      </c>
      <c r="H22" s="19" t="n">
        <f aca="false">IFERROR(G22/G50*100,0)</f>
        <v>2.08426115614145</v>
      </c>
    </row>
    <row r="23" customFormat="false" ht="15" hidden="false" customHeight="false" outlineLevel="0" collapsed="false">
      <c r="A23" s="3" t="n">
        <v>22</v>
      </c>
      <c r="B23" s="3" t="s">
        <v>135</v>
      </c>
      <c r="C23" s="6" t="s">
        <v>136</v>
      </c>
      <c r="D23" s="4" t="s">
        <v>6</v>
      </c>
      <c r="E23" s="18" t="n">
        <v>2340000</v>
      </c>
      <c r="F23" s="18"/>
      <c r="G23" s="18" t="n">
        <f aca="false">E23-IF(ISBLANK(F23),0,F23)</f>
        <v>2340000</v>
      </c>
      <c r="H23" s="19" t="n">
        <f aca="false">IFERROR(G23/G50*100,0)</f>
        <v>2.08426115614145</v>
      </c>
    </row>
    <row r="24" customFormat="false" ht="15" hidden="false" customHeight="false" outlineLevel="0" collapsed="false">
      <c r="A24" s="3" t="n">
        <v>23</v>
      </c>
      <c r="B24" s="3" t="s">
        <v>75</v>
      </c>
      <c r="C24" s="6" t="s">
        <v>76</v>
      </c>
      <c r="D24" s="4" t="s">
        <v>6</v>
      </c>
      <c r="E24" s="18" t="n">
        <v>2310000</v>
      </c>
      <c r="F24" s="18"/>
      <c r="G24" s="18" t="n">
        <f aca="false">E24-IF(ISBLANK(F24),0,F24)</f>
        <v>2310000</v>
      </c>
      <c r="H24" s="19" t="n">
        <f aca="false">IFERROR(G24/G50*100,0)</f>
        <v>2.05753985926784</v>
      </c>
    </row>
    <row r="25" customFormat="false" ht="15" hidden="false" customHeight="false" outlineLevel="0" collapsed="false">
      <c r="A25" s="3" t="n">
        <v>24</v>
      </c>
      <c r="B25" s="3" t="s">
        <v>95</v>
      </c>
      <c r="C25" s="6" t="s">
        <v>96</v>
      </c>
      <c r="D25" s="4" t="s">
        <v>6</v>
      </c>
      <c r="E25" s="18" t="n">
        <v>2310000</v>
      </c>
      <c r="F25" s="18"/>
      <c r="G25" s="18" t="n">
        <f aca="false">E25-IF(ISBLANK(F25),0,F25)</f>
        <v>2310000</v>
      </c>
      <c r="H25" s="19" t="n">
        <f aca="false">IFERROR(G25/G50*100,0)</f>
        <v>2.05753985926784</v>
      </c>
    </row>
    <row r="26" customFormat="false" ht="15" hidden="false" customHeight="false" outlineLevel="0" collapsed="false">
      <c r="A26" s="3" t="n">
        <v>25</v>
      </c>
      <c r="B26" s="3" t="s">
        <v>168</v>
      </c>
      <c r="C26" s="6" t="s">
        <v>169</v>
      </c>
      <c r="D26" s="7" t="s">
        <v>167</v>
      </c>
      <c r="E26" s="18" t="n">
        <v>2230000</v>
      </c>
      <c r="F26" s="18"/>
      <c r="G26" s="18" t="n">
        <f aca="false">E26-IF(ISBLANK(F26),0,F26)</f>
        <v>2230000</v>
      </c>
      <c r="H26" s="19" t="n">
        <f aca="false">IFERROR(G26/G50*100,0)</f>
        <v>1.98628306760488</v>
      </c>
    </row>
    <row r="27" customFormat="false" ht="15" hidden="false" customHeight="false" outlineLevel="0" collapsed="false">
      <c r="A27" s="3" t="n">
        <v>26</v>
      </c>
      <c r="B27" s="3" t="s">
        <v>172</v>
      </c>
      <c r="C27" s="6" t="s">
        <v>173</v>
      </c>
      <c r="D27" s="7" t="s">
        <v>167</v>
      </c>
      <c r="E27" s="18" t="n">
        <v>2230000</v>
      </c>
      <c r="F27" s="18"/>
      <c r="G27" s="18" t="n">
        <f aca="false">E27-IF(ISBLANK(F27),0,F27)</f>
        <v>2230000</v>
      </c>
      <c r="H27" s="19" t="n">
        <f aca="false">IFERROR(G27/G50*100,0)</f>
        <v>1.98628306760488</v>
      </c>
    </row>
    <row r="28" customFormat="false" ht="15" hidden="false" customHeight="false" outlineLevel="0" collapsed="false">
      <c r="A28" s="3" t="n">
        <v>27</v>
      </c>
      <c r="B28" s="3" t="s">
        <v>31</v>
      </c>
      <c r="C28" s="6" t="s">
        <v>32</v>
      </c>
      <c r="D28" s="4" t="s">
        <v>6</v>
      </c>
      <c r="E28" s="18" t="n">
        <v>2180000</v>
      </c>
      <c r="F28" s="18"/>
      <c r="G28" s="18" t="n">
        <f aca="false">E28-IF(ISBLANK(F28),0,F28)</f>
        <v>2180000</v>
      </c>
      <c r="H28" s="19" t="n">
        <f aca="false">IFERROR(G28/G50*100,0)</f>
        <v>1.94174757281553</v>
      </c>
    </row>
    <row r="29" customFormat="false" ht="15" hidden="false" customHeight="false" outlineLevel="0" collapsed="false">
      <c r="A29" s="3" t="n">
        <v>28</v>
      </c>
      <c r="B29" s="3" t="s">
        <v>190</v>
      </c>
      <c r="C29" s="5" t="s">
        <v>191</v>
      </c>
      <c r="D29" s="9" t="s">
        <v>189</v>
      </c>
      <c r="E29" s="18" t="n">
        <v>2110000</v>
      </c>
      <c r="F29" s="18"/>
      <c r="G29" s="18" t="n">
        <f aca="false">E29-IF(ISBLANK(F29),0,F29)</f>
        <v>2110000</v>
      </c>
      <c r="H29" s="19" t="n">
        <f aca="false">IFERROR(G29/G50*100,0)</f>
        <v>1.87939788011045</v>
      </c>
    </row>
    <row r="30" customFormat="false" ht="15" hidden="false" customHeight="false" outlineLevel="0" collapsed="false">
      <c r="A30" s="3" t="n">
        <v>29</v>
      </c>
      <c r="B30" s="3" t="s">
        <v>194</v>
      </c>
      <c r="C30" s="5" t="s">
        <v>195</v>
      </c>
      <c r="D30" s="9" t="s">
        <v>189</v>
      </c>
      <c r="E30" s="18" t="n">
        <v>2100000</v>
      </c>
      <c r="F30" s="18"/>
      <c r="G30" s="18" t="n">
        <f aca="false">E30-IF(ISBLANK(F30),0,F30)</f>
        <v>2100000</v>
      </c>
      <c r="H30" s="19" t="n">
        <f aca="false">IFERROR(G30/G50*100,0)</f>
        <v>1.87049078115258</v>
      </c>
    </row>
    <row r="31" customFormat="false" ht="15" hidden="false" customHeight="false" outlineLevel="0" collapsed="false">
      <c r="A31" s="3" t="n">
        <v>30</v>
      </c>
      <c r="B31" s="3" t="s">
        <v>198</v>
      </c>
      <c r="C31" s="5" t="s">
        <v>199</v>
      </c>
      <c r="D31" s="9" t="s">
        <v>189</v>
      </c>
      <c r="E31" s="18" t="n">
        <v>2070000</v>
      </c>
      <c r="F31" s="20" t="n">
        <v>310000</v>
      </c>
      <c r="G31" s="18" t="n">
        <f aca="false">E31-IF(ISBLANK(F31),0,F31)</f>
        <v>1760000</v>
      </c>
      <c r="H31" s="19" t="n">
        <f aca="false">IFERROR(G31/G50*100,0)</f>
        <v>1.56764941658502</v>
      </c>
    </row>
    <row r="32" customFormat="false" ht="15" hidden="false" customHeight="false" outlineLevel="0" collapsed="false">
      <c r="A32" s="3" t="n">
        <v>31</v>
      </c>
      <c r="B32" s="3" t="s">
        <v>71</v>
      </c>
      <c r="C32" s="6" t="s">
        <v>72</v>
      </c>
      <c r="D32" s="4" t="s">
        <v>6</v>
      </c>
      <c r="E32" s="18" t="n">
        <v>2020000</v>
      </c>
      <c r="F32" s="20" t="n">
        <v>300000</v>
      </c>
      <c r="G32" s="18" t="n">
        <f aca="false">E32-IF(ISBLANK(F32),0,F32)</f>
        <v>1720000</v>
      </c>
      <c r="H32" s="19" t="n">
        <f aca="false">IFERROR(G32/G50*100,0)</f>
        <v>1.53202102075354</v>
      </c>
    </row>
    <row r="33" customFormat="false" ht="15" hidden="false" customHeight="false" outlineLevel="0" collapsed="false">
      <c r="A33" s="3" t="n">
        <v>32</v>
      </c>
      <c r="B33" s="3" t="s">
        <v>131</v>
      </c>
      <c r="C33" s="6" t="s">
        <v>132</v>
      </c>
      <c r="D33" s="4" t="s">
        <v>6</v>
      </c>
      <c r="E33" s="18" t="n">
        <v>1980000</v>
      </c>
      <c r="F33" s="18"/>
      <c r="G33" s="18" t="n">
        <f aca="false">E33-IF(ISBLANK(F33),0,F33)</f>
        <v>1980000</v>
      </c>
      <c r="H33" s="19" t="n">
        <f aca="false">IFERROR(G33/G50*100,0)</f>
        <v>1.76360559365815</v>
      </c>
    </row>
    <row r="34" customFormat="false" ht="15" hidden="false" customHeight="false" outlineLevel="0" collapsed="false">
      <c r="A34" s="3" t="n">
        <v>33</v>
      </c>
      <c r="B34" s="3" t="s">
        <v>111</v>
      </c>
      <c r="C34" s="6" t="s">
        <v>112</v>
      </c>
      <c r="D34" s="4" t="s">
        <v>6</v>
      </c>
      <c r="E34" s="18" t="n">
        <v>1970000</v>
      </c>
      <c r="F34" s="18"/>
      <c r="G34" s="18" t="n">
        <f aca="false">E34-IF(ISBLANK(F34),0,F34)</f>
        <v>1970000</v>
      </c>
      <c r="H34" s="19" t="n">
        <f aca="false">IFERROR(G34/G50*100,0)</f>
        <v>1.75469849470028</v>
      </c>
    </row>
    <row r="35" customFormat="false" ht="15" hidden="false" customHeight="false" outlineLevel="0" collapsed="false">
      <c r="A35" s="3" t="n">
        <v>34</v>
      </c>
      <c r="B35" s="3" t="s">
        <v>67</v>
      </c>
      <c r="C35" s="6" t="s">
        <v>68</v>
      </c>
      <c r="D35" s="4" t="s">
        <v>6</v>
      </c>
      <c r="E35" s="18" t="n">
        <v>1950000</v>
      </c>
      <c r="F35" s="18"/>
      <c r="G35" s="18" t="n">
        <f aca="false">E35-IF(ISBLANK(F35),0,F35)</f>
        <v>1950000</v>
      </c>
      <c r="H35" s="19" t="n">
        <f aca="false">IFERROR(G35/G50*100,0)</f>
        <v>1.73688429678454</v>
      </c>
    </row>
    <row r="36" customFormat="false" ht="15" hidden="false" customHeight="false" outlineLevel="0" collapsed="false">
      <c r="A36" s="3" t="n">
        <v>35</v>
      </c>
      <c r="B36" s="3" t="s">
        <v>107</v>
      </c>
      <c r="C36" s="6" t="s">
        <v>108</v>
      </c>
      <c r="D36" s="4" t="s">
        <v>6</v>
      </c>
      <c r="E36" s="18" t="n">
        <v>1800000</v>
      </c>
      <c r="F36" s="18"/>
      <c r="G36" s="18" t="n">
        <f aca="false">E36-IF(ISBLANK(F36),0,F36)</f>
        <v>1800000</v>
      </c>
      <c r="H36" s="19" t="n">
        <f aca="false">IFERROR(G36/G50*100,0)</f>
        <v>1.6032778124165</v>
      </c>
    </row>
    <row r="37" customFormat="false" ht="15" hidden="false" customHeight="false" outlineLevel="0" collapsed="false">
      <c r="A37" s="3" t="n">
        <v>36</v>
      </c>
      <c r="B37" s="3" t="s">
        <v>55</v>
      </c>
      <c r="C37" s="6" t="s">
        <v>56</v>
      </c>
      <c r="D37" s="4" t="s">
        <v>6</v>
      </c>
      <c r="E37" s="18" t="n">
        <v>1780000</v>
      </c>
      <c r="F37" s="18"/>
      <c r="G37" s="18" t="n">
        <f aca="false">E37-IF(ISBLANK(F37),0,F37)</f>
        <v>1780000</v>
      </c>
      <c r="H37" s="19" t="n">
        <f aca="false">IFERROR(G37/G50*100,0)</f>
        <v>1.58546361450076</v>
      </c>
    </row>
    <row r="38" customFormat="false" ht="15" hidden="false" customHeight="false" outlineLevel="0" collapsed="false">
      <c r="A38" s="3" t="n">
        <v>37</v>
      </c>
      <c r="B38" s="3" t="s">
        <v>83</v>
      </c>
      <c r="C38" s="6" t="s">
        <v>84</v>
      </c>
      <c r="D38" s="4" t="s">
        <v>6</v>
      </c>
      <c r="E38" s="18" t="n">
        <v>1680000</v>
      </c>
      <c r="F38" s="18"/>
      <c r="G38" s="18" t="n">
        <f aca="false">E38-IF(ISBLANK(F38),0,F38)</f>
        <v>1680000</v>
      </c>
      <c r="H38" s="19" t="n">
        <f aca="false">IFERROR(G38/G50*100,0)</f>
        <v>1.49639262492206</v>
      </c>
    </row>
    <row r="39" customFormat="false" ht="15" hidden="false" customHeight="false" outlineLevel="0" collapsed="false">
      <c r="A39" s="3" t="n">
        <v>38</v>
      </c>
      <c r="B39" s="3" t="s">
        <v>23</v>
      </c>
      <c r="C39" s="6" t="s">
        <v>24</v>
      </c>
      <c r="D39" s="4" t="s">
        <v>6</v>
      </c>
      <c r="E39" s="18" t="n">
        <v>1540000</v>
      </c>
      <c r="F39" s="18"/>
      <c r="G39" s="18" t="n">
        <f aca="false">E39-IF(ISBLANK(F39),0,F39)</f>
        <v>1540000</v>
      </c>
      <c r="H39" s="19" t="n">
        <f aca="false">IFERROR(G39/G50*100,0)</f>
        <v>1.37169323951189</v>
      </c>
    </row>
    <row r="40" customFormat="false" ht="15" hidden="false" customHeight="false" outlineLevel="0" collapsed="false">
      <c r="A40" s="3" t="n">
        <v>39</v>
      </c>
      <c r="B40" s="3" t="s">
        <v>155</v>
      </c>
      <c r="C40" s="6" t="s">
        <v>156</v>
      </c>
      <c r="D40" s="4" t="s">
        <v>6</v>
      </c>
      <c r="E40" s="18" t="n">
        <v>1540000</v>
      </c>
      <c r="F40" s="18"/>
      <c r="G40" s="18" t="n">
        <f aca="false">E40-IF(ISBLANK(F40),0,F40)</f>
        <v>1540000</v>
      </c>
      <c r="H40" s="19" t="n">
        <f aca="false">IFERROR(G40/G50*100,0)</f>
        <v>1.37169323951189</v>
      </c>
    </row>
    <row r="41" customFormat="false" ht="15" hidden="false" customHeight="false" outlineLevel="0" collapsed="false">
      <c r="A41" s="3" t="n">
        <v>40</v>
      </c>
      <c r="B41" s="3" t="s">
        <v>115</v>
      </c>
      <c r="C41" s="6" t="s">
        <v>116</v>
      </c>
      <c r="D41" s="4" t="s">
        <v>6</v>
      </c>
      <c r="E41" s="18" t="n">
        <v>1530000</v>
      </c>
      <c r="F41" s="18"/>
      <c r="G41" s="18" t="n">
        <f aca="false">E41-IF(ISBLANK(F41),0,F41)</f>
        <v>1530000</v>
      </c>
      <c r="H41" s="19" t="n">
        <f aca="false">IFERROR(G41/G50*100,0)</f>
        <v>1.36278614055402</v>
      </c>
    </row>
    <row r="42" customFormat="false" ht="15" hidden="false" customHeight="false" outlineLevel="0" collapsed="false">
      <c r="A42" s="3" t="n">
        <v>41</v>
      </c>
      <c r="B42" s="3" t="s">
        <v>159</v>
      </c>
      <c r="C42" s="6" t="s">
        <v>160</v>
      </c>
      <c r="D42" s="4" t="s">
        <v>6</v>
      </c>
      <c r="E42" s="18" t="n">
        <v>1410000</v>
      </c>
      <c r="F42" s="18"/>
      <c r="G42" s="18" t="n">
        <f aca="false">E42-IF(ISBLANK(F42),0,F42)</f>
        <v>1410000</v>
      </c>
      <c r="H42" s="19" t="n">
        <f aca="false">IFERROR(G42/G50*100,0)</f>
        <v>1.25590095305959</v>
      </c>
    </row>
    <row r="43" customFormat="false" ht="15" hidden="false" customHeight="false" outlineLevel="0" collapsed="false">
      <c r="A43" s="3" t="n">
        <v>42</v>
      </c>
      <c r="B43" s="3" t="s">
        <v>119</v>
      </c>
      <c r="C43" s="6" t="s">
        <v>120</v>
      </c>
      <c r="D43" s="4" t="s">
        <v>6</v>
      </c>
      <c r="E43" s="18" t="n">
        <v>1360000</v>
      </c>
      <c r="F43" s="18"/>
      <c r="G43" s="18" t="n">
        <f aca="false">E43-IF(ISBLANK(F43),0,F43)</f>
        <v>1360000</v>
      </c>
      <c r="H43" s="19" t="n">
        <f aca="false">IFERROR(G43/G50*100,0)</f>
        <v>1.21136545827024</v>
      </c>
    </row>
    <row r="44" customFormat="false" ht="15" hidden="false" customHeight="false" outlineLevel="0" collapsed="false">
      <c r="A44" s="3" t="n">
        <v>43</v>
      </c>
      <c r="B44" s="3" t="s">
        <v>151</v>
      </c>
      <c r="C44" s="6" t="s">
        <v>152</v>
      </c>
      <c r="D44" s="4" t="s">
        <v>6</v>
      </c>
      <c r="E44" s="18" t="n">
        <v>1250000</v>
      </c>
      <c r="F44" s="18"/>
      <c r="G44" s="18" t="n">
        <f aca="false">E44-IF(ISBLANK(F44),0,F44)</f>
        <v>1250000</v>
      </c>
      <c r="H44" s="19" t="n">
        <f aca="false">IFERROR(G44/G50*100,0)</f>
        <v>1.11338736973368</v>
      </c>
    </row>
    <row r="45" customFormat="false" ht="15" hidden="false" customHeight="false" outlineLevel="0" collapsed="false">
      <c r="A45" s="3" t="n">
        <v>44</v>
      </c>
      <c r="B45" s="3" t="s">
        <v>39</v>
      </c>
      <c r="C45" s="6" t="s">
        <v>40</v>
      </c>
      <c r="D45" s="4" t="s">
        <v>6</v>
      </c>
      <c r="E45" s="18" t="n">
        <v>1010000</v>
      </c>
      <c r="F45" s="18"/>
      <c r="G45" s="18" t="n">
        <f aca="false">E45-IF(ISBLANK(F45),0,F45)</f>
        <v>1010000</v>
      </c>
      <c r="H45" s="19" t="n">
        <f aca="false">IFERROR(G45/G50*100,0)</f>
        <v>0.899616994744812</v>
      </c>
    </row>
    <row r="46" customFormat="false" ht="15" hidden="false" customHeight="false" outlineLevel="0" collapsed="false">
      <c r="A46" s="3" t="n">
        <v>45</v>
      </c>
      <c r="B46" s="3" t="s">
        <v>47</v>
      </c>
      <c r="C46" s="6" t="s">
        <v>48</v>
      </c>
      <c r="D46" s="4" t="s">
        <v>6</v>
      </c>
      <c r="E46" s="18" t="n">
        <v>960000</v>
      </c>
      <c r="F46" s="18"/>
      <c r="G46" s="18" t="n">
        <f aca="false">E46-IF(ISBLANK(F46),0,F46)</f>
        <v>960000</v>
      </c>
      <c r="H46" s="19" t="n">
        <f aca="false">IFERROR(G46/G50*100,0)</f>
        <v>0.855081499955465</v>
      </c>
    </row>
    <row r="47" customFormat="false" ht="15" hidden="false" customHeight="false" outlineLevel="0" collapsed="false">
      <c r="A47" s="3" t="n">
        <v>46</v>
      </c>
      <c r="B47" s="3" t="s">
        <v>127</v>
      </c>
      <c r="C47" s="6" t="s">
        <v>128</v>
      </c>
      <c r="D47" s="4" t="s">
        <v>6</v>
      </c>
      <c r="E47" s="18" t="n">
        <v>940000</v>
      </c>
      <c r="F47" s="18"/>
      <c r="G47" s="18" t="n">
        <f aca="false">E47-IF(ISBLANK(F47),0,F47)</f>
        <v>940000</v>
      </c>
      <c r="H47" s="19" t="n">
        <f aca="false">IFERROR(G47/G50*100,0)</f>
        <v>0.837267302039726</v>
      </c>
    </row>
    <row r="48" customFormat="false" ht="15" hidden="false" customHeight="false" outlineLevel="0" collapsed="false">
      <c r="A48" s="3" t="n">
        <v>47</v>
      </c>
      <c r="B48" s="3" t="s">
        <v>143</v>
      </c>
      <c r="C48" s="6" t="s">
        <v>144</v>
      </c>
      <c r="D48" s="4" t="s">
        <v>6</v>
      </c>
      <c r="E48" s="18" t="n">
        <v>590000</v>
      </c>
      <c r="F48" s="20" t="n">
        <v>90000</v>
      </c>
      <c r="G48" s="18" t="n">
        <f aca="false">E48-IF(ISBLANK(F48),0,F48)</f>
        <v>500000</v>
      </c>
      <c r="H48" s="19" t="n">
        <f aca="false">IFERROR(G48/G50*100,0)</f>
        <v>0.445354947893471</v>
      </c>
    </row>
    <row r="49" customFormat="false" ht="15" hidden="false" customHeight="false" outlineLevel="0" collapsed="false">
      <c r="A49" s="3" t="n">
        <v>48</v>
      </c>
      <c r="B49" s="3" t="s">
        <v>87</v>
      </c>
      <c r="C49" s="6" t="s">
        <v>88</v>
      </c>
      <c r="D49" s="4" t="s">
        <v>6</v>
      </c>
      <c r="E49" s="18" t="n">
        <v>500000</v>
      </c>
      <c r="F49" s="18"/>
      <c r="G49" s="18" t="n">
        <f aca="false">E49-IF(ISBLANK(F49),0,F49)</f>
        <v>500000</v>
      </c>
      <c r="H49" s="19" t="n">
        <f aca="false">IFERROR(G49/G50*100,0)</f>
        <v>0.445354947893471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112970000</v>
      </c>
      <c r="F50" s="17" t="n">
        <f aca="false">SUM(F2:F49)</f>
        <v>700000</v>
      </c>
      <c r="G50" s="17" t="n">
        <f aca="false">SUM(G2:G49)</f>
        <v>112270000</v>
      </c>
      <c r="H50" s="2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8" min="8" style="0" width="12"/>
  </cols>
  <sheetData>
    <row r="1" customFormat="false" ht="17.15" hidden="false" customHeight="false" outlineLevel="0" collapsed="false">
      <c r="A1" s="2" t="s">
        <v>214</v>
      </c>
      <c r="B1" s="2" t="s">
        <v>2</v>
      </c>
      <c r="C1" s="2" t="s">
        <v>3</v>
      </c>
      <c r="D1" s="2" t="s">
        <v>1</v>
      </c>
      <c r="E1" s="2" t="s">
        <v>215</v>
      </c>
      <c r="F1" s="2" t="s">
        <v>216</v>
      </c>
      <c r="G1" s="2" t="s">
        <v>217</v>
      </c>
      <c r="H1" s="2" t="s">
        <v>218</v>
      </c>
    </row>
    <row r="2" customFormat="false" ht="15" hidden="false" customHeight="false" outlineLevel="0" collapsed="false">
      <c r="A2" s="3" t="n">
        <v>1</v>
      </c>
      <c r="B2" s="3" t="s">
        <v>115</v>
      </c>
      <c r="C2" s="6" t="s">
        <v>116</v>
      </c>
      <c r="D2" s="4" t="s">
        <v>6</v>
      </c>
      <c r="E2" s="18" t="n">
        <v>2420000</v>
      </c>
      <c r="F2" s="18"/>
      <c r="G2" s="18" t="n">
        <f aca="false">E2-IF(ISBLANK(F2),0,F2)</f>
        <v>2420000</v>
      </c>
      <c r="H2" s="19" t="n">
        <f aca="false">IFERROR(G2/G50*100,0)</f>
        <v>3.50217076700434</v>
      </c>
    </row>
    <row r="3" customFormat="false" ht="15" hidden="false" customHeight="false" outlineLevel="0" collapsed="false">
      <c r="A3" s="3" t="n">
        <v>2</v>
      </c>
      <c r="B3" s="3" t="s">
        <v>23</v>
      </c>
      <c r="C3" s="6" t="s">
        <v>24</v>
      </c>
      <c r="D3" s="4" t="s">
        <v>6</v>
      </c>
      <c r="E3" s="18" t="n">
        <v>2410000</v>
      </c>
      <c r="F3" s="18"/>
      <c r="G3" s="18" t="n">
        <f aca="false">E3-IF(ISBLANK(F3),0,F3)</f>
        <v>2410000</v>
      </c>
      <c r="H3" s="19" t="n">
        <f aca="false">IFERROR(G3/G50*100,0)</f>
        <v>3.4876989869754</v>
      </c>
    </row>
    <row r="4" customFormat="false" ht="15" hidden="false" customHeight="false" outlineLevel="0" collapsed="false">
      <c r="A4" s="3" t="n">
        <v>3</v>
      </c>
      <c r="B4" s="3" t="s">
        <v>155</v>
      </c>
      <c r="C4" s="6" t="s">
        <v>156</v>
      </c>
      <c r="D4" s="4" t="s">
        <v>6</v>
      </c>
      <c r="E4" s="18" t="n">
        <v>2410000</v>
      </c>
      <c r="F4" s="20" t="n">
        <v>360000</v>
      </c>
      <c r="G4" s="18" t="n">
        <f aca="false">E4-IF(ISBLANK(F4),0,F4)</f>
        <v>2050000</v>
      </c>
      <c r="H4" s="19" t="n">
        <f aca="false">IFERROR(G4/G50*100,0)</f>
        <v>2.96671490593343</v>
      </c>
    </row>
    <row r="5" customFormat="false" ht="15" hidden="false" customHeight="false" outlineLevel="0" collapsed="false">
      <c r="A5" s="3" t="n">
        <v>4</v>
      </c>
      <c r="B5" s="3" t="s">
        <v>83</v>
      </c>
      <c r="C5" s="6" t="s">
        <v>84</v>
      </c>
      <c r="D5" s="4" t="s">
        <v>6</v>
      </c>
      <c r="E5" s="18" t="n">
        <v>2330000</v>
      </c>
      <c r="F5" s="18"/>
      <c r="G5" s="18" t="n">
        <f aca="false">E5-IF(ISBLANK(F5),0,F5)</f>
        <v>2330000</v>
      </c>
      <c r="H5" s="19" t="n">
        <f aca="false">IFERROR(G5/G50*100,0)</f>
        <v>3.37192474674385</v>
      </c>
    </row>
    <row r="6" customFormat="false" ht="15" hidden="false" customHeight="false" outlineLevel="0" collapsed="false">
      <c r="A6" s="3" t="n">
        <v>5</v>
      </c>
      <c r="B6" s="3" t="s">
        <v>55</v>
      </c>
      <c r="C6" s="6" t="s">
        <v>56</v>
      </c>
      <c r="D6" s="4" t="s">
        <v>6</v>
      </c>
      <c r="E6" s="18" t="n">
        <v>2270000</v>
      </c>
      <c r="F6" s="18"/>
      <c r="G6" s="18" t="n">
        <f aca="false">E6-IF(ISBLANK(F6),0,F6)</f>
        <v>2270000</v>
      </c>
      <c r="H6" s="19" t="n">
        <f aca="false">IFERROR(G6/G50*100,0)</f>
        <v>3.28509406657019</v>
      </c>
    </row>
    <row r="7" customFormat="false" ht="15" hidden="false" customHeight="false" outlineLevel="0" collapsed="false">
      <c r="A7" s="3" t="n">
        <v>6</v>
      </c>
      <c r="B7" s="3" t="s">
        <v>107</v>
      </c>
      <c r="C7" s="6" t="s">
        <v>108</v>
      </c>
      <c r="D7" s="4" t="s">
        <v>6</v>
      </c>
      <c r="E7" s="18" t="n">
        <v>2260000</v>
      </c>
      <c r="F7" s="18"/>
      <c r="G7" s="18" t="n">
        <f aca="false">E7-IF(ISBLANK(F7),0,F7)</f>
        <v>2260000</v>
      </c>
      <c r="H7" s="19" t="n">
        <f aca="false">IFERROR(G7/G50*100,0)</f>
        <v>3.27062228654124</v>
      </c>
    </row>
    <row r="8" customFormat="false" ht="15" hidden="false" customHeight="false" outlineLevel="0" collapsed="false">
      <c r="A8" s="3" t="n">
        <v>7</v>
      </c>
      <c r="B8" s="3" t="s">
        <v>67</v>
      </c>
      <c r="C8" s="6" t="s">
        <v>68</v>
      </c>
      <c r="D8" s="4" t="s">
        <v>6</v>
      </c>
      <c r="E8" s="18" t="n">
        <v>2170000</v>
      </c>
      <c r="F8" s="18"/>
      <c r="G8" s="18" t="n">
        <f aca="false">E8-IF(ISBLANK(F8),0,F8)</f>
        <v>2170000</v>
      </c>
      <c r="H8" s="19" t="n">
        <f aca="false">IFERROR(G8/G50*100,0)</f>
        <v>3.14037626628075</v>
      </c>
    </row>
    <row r="9" customFormat="false" ht="15" hidden="false" customHeight="false" outlineLevel="0" collapsed="false">
      <c r="A9" s="3" t="n">
        <v>8</v>
      </c>
      <c r="B9" s="3" t="s">
        <v>111</v>
      </c>
      <c r="C9" s="6" t="s">
        <v>112</v>
      </c>
      <c r="D9" s="4" t="s">
        <v>6</v>
      </c>
      <c r="E9" s="18" t="n">
        <v>2150000</v>
      </c>
      <c r="F9" s="18"/>
      <c r="G9" s="18" t="n">
        <f aca="false">E9-IF(ISBLANK(F9),0,F9)</f>
        <v>2150000</v>
      </c>
      <c r="H9" s="19" t="n">
        <f aca="false">IFERROR(G9/G50*100,0)</f>
        <v>3.11143270622287</v>
      </c>
    </row>
    <row r="10" customFormat="false" ht="15" hidden="false" customHeight="false" outlineLevel="0" collapsed="false">
      <c r="A10" s="3" t="n">
        <v>9</v>
      </c>
      <c r="B10" s="3" t="s">
        <v>131</v>
      </c>
      <c r="C10" s="6" t="s">
        <v>132</v>
      </c>
      <c r="D10" s="4" t="s">
        <v>6</v>
      </c>
      <c r="E10" s="18" t="n">
        <v>2150000</v>
      </c>
      <c r="F10" s="18"/>
      <c r="G10" s="18" t="n">
        <f aca="false">E10-IF(ISBLANK(F10),0,F10)</f>
        <v>2150000</v>
      </c>
      <c r="H10" s="19" t="n">
        <f aca="false">IFERROR(G10/G50*100,0)</f>
        <v>3.11143270622287</v>
      </c>
    </row>
    <row r="11" customFormat="false" ht="15" hidden="false" customHeight="false" outlineLevel="0" collapsed="false">
      <c r="A11" s="3" t="n">
        <v>10</v>
      </c>
      <c r="B11" s="3" t="s">
        <v>71</v>
      </c>
      <c r="C11" s="6" t="s">
        <v>72</v>
      </c>
      <c r="D11" s="4" t="s">
        <v>6</v>
      </c>
      <c r="E11" s="18" t="n">
        <v>2130000</v>
      </c>
      <c r="F11" s="18"/>
      <c r="G11" s="18" t="n">
        <f aca="false">E11-IF(ISBLANK(F11),0,F11)</f>
        <v>2130000</v>
      </c>
      <c r="H11" s="19" t="n">
        <f aca="false">IFERROR(G11/G50*100,0)</f>
        <v>3.08248914616498</v>
      </c>
    </row>
    <row r="12" customFormat="false" ht="15" hidden="false" customHeight="false" outlineLevel="0" collapsed="false">
      <c r="A12" s="3" t="n">
        <v>11</v>
      </c>
      <c r="B12" s="3" t="s">
        <v>198</v>
      </c>
      <c r="C12" s="5" t="s">
        <v>199</v>
      </c>
      <c r="D12" s="9" t="s">
        <v>189</v>
      </c>
      <c r="E12" s="18" t="n">
        <v>2100000</v>
      </c>
      <c r="F12" s="18"/>
      <c r="G12" s="18" t="n">
        <f aca="false">E12-IF(ISBLANK(F12),0,F12)</f>
        <v>2100000</v>
      </c>
      <c r="H12" s="19" t="n">
        <f aca="false">IFERROR(G12/G50*100,0)</f>
        <v>3.03907380607815</v>
      </c>
    </row>
    <row r="13" customFormat="false" ht="15" hidden="false" customHeight="false" outlineLevel="0" collapsed="false">
      <c r="A13" s="3" t="n">
        <v>12</v>
      </c>
      <c r="B13" s="3" t="s">
        <v>194</v>
      </c>
      <c r="C13" s="5" t="s">
        <v>195</v>
      </c>
      <c r="D13" s="9" t="s">
        <v>189</v>
      </c>
      <c r="E13" s="18" t="n">
        <v>2080000</v>
      </c>
      <c r="F13" s="18"/>
      <c r="G13" s="18" t="n">
        <f aca="false">E13-IF(ISBLANK(F13),0,F13)</f>
        <v>2080000</v>
      </c>
      <c r="H13" s="19" t="n">
        <f aca="false">IFERROR(G13/G50*100,0)</f>
        <v>3.01013024602026</v>
      </c>
    </row>
    <row r="14" customFormat="false" ht="15" hidden="false" customHeight="false" outlineLevel="0" collapsed="false">
      <c r="A14" s="3" t="n">
        <v>13</v>
      </c>
      <c r="B14" s="3" t="s">
        <v>190</v>
      </c>
      <c r="C14" s="5" t="s">
        <v>191</v>
      </c>
      <c r="D14" s="9" t="s">
        <v>189</v>
      </c>
      <c r="E14" s="18" t="n">
        <v>2070000</v>
      </c>
      <c r="F14" s="18"/>
      <c r="G14" s="18" t="n">
        <f aca="false">E14-IF(ISBLANK(F14),0,F14)</f>
        <v>2070000</v>
      </c>
      <c r="H14" s="19" t="n">
        <f aca="false">IFERROR(G14/G50*100,0)</f>
        <v>2.99565846599132</v>
      </c>
    </row>
    <row r="15" customFormat="false" ht="15" hidden="false" customHeight="false" outlineLevel="0" collapsed="false">
      <c r="A15" s="3" t="n">
        <v>14</v>
      </c>
      <c r="B15" s="3" t="s">
        <v>31</v>
      </c>
      <c r="C15" s="6" t="s">
        <v>32</v>
      </c>
      <c r="D15" s="4" t="s">
        <v>6</v>
      </c>
      <c r="E15" s="18" t="n">
        <v>2030000</v>
      </c>
      <c r="F15" s="18"/>
      <c r="G15" s="18" t="n">
        <f aca="false">E15-IF(ISBLANK(F15),0,F15)</f>
        <v>2030000</v>
      </c>
      <c r="H15" s="19" t="n">
        <f aca="false">IFERROR(G15/G50*100,0)</f>
        <v>2.93777134587554</v>
      </c>
    </row>
    <row r="16" customFormat="false" ht="15" hidden="false" customHeight="false" outlineLevel="0" collapsed="false">
      <c r="A16" s="3" t="n">
        <v>15</v>
      </c>
      <c r="B16" s="3" t="s">
        <v>75</v>
      </c>
      <c r="C16" s="6" t="s">
        <v>76</v>
      </c>
      <c r="D16" s="4" t="s">
        <v>6</v>
      </c>
      <c r="E16" s="18" t="n">
        <v>1950000</v>
      </c>
      <c r="F16" s="18"/>
      <c r="G16" s="18" t="n">
        <f aca="false">E16-IF(ISBLANK(F16),0,F16)</f>
        <v>1950000</v>
      </c>
      <c r="H16" s="19" t="n">
        <f aca="false">IFERROR(G16/G50*100,0)</f>
        <v>2.82199710564399</v>
      </c>
    </row>
    <row r="17" customFormat="false" ht="15" hidden="false" customHeight="false" outlineLevel="0" collapsed="false">
      <c r="A17" s="3" t="n">
        <v>16</v>
      </c>
      <c r="B17" s="3" t="s">
        <v>95</v>
      </c>
      <c r="C17" s="6" t="s">
        <v>96</v>
      </c>
      <c r="D17" s="4" t="s">
        <v>6</v>
      </c>
      <c r="E17" s="18" t="n">
        <v>1950000</v>
      </c>
      <c r="F17" s="18"/>
      <c r="G17" s="18" t="n">
        <f aca="false">E17-IF(ISBLANK(F17),0,F17)</f>
        <v>1950000</v>
      </c>
      <c r="H17" s="19" t="n">
        <f aca="false">IFERROR(G17/G50*100,0)</f>
        <v>2.82199710564399</v>
      </c>
    </row>
    <row r="18" customFormat="false" ht="15" hidden="false" customHeight="false" outlineLevel="0" collapsed="false">
      <c r="A18" s="3" t="n">
        <v>17</v>
      </c>
      <c r="B18" s="3" t="s">
        <v>79</v>
      </c>
      <c r="C18" s="6" t="s">
        <v>80</v>
      </c>
      <c r="D18" s="4" t="s">
        <v>6</v>
      </c>
      <c r="E18" s="18" t="n">
        <v>1930000</v>
      </c>
      <c r="F18" s="18"/>
      <c r="G18" s="18" t="n">
        <f aca="false">E18-IF(ISBLANK(F18),0,F18)</f>
        <v>1930000</v>
      </c>
      <c r="H18" s="19" t="n">
        <f aca="false">IFERROR(G18/G50*100,0)</f>
        <v>2.79305354558611</v>
      </c>
    </row>
    <row r="19" customFormat="false" ht="15" hidden="false" customHeight="false" outlineLevel="0" collapsed="false">
      <c r="A19" s="3" t="n">
        <v>18</v>
      </c>
      <c r="B19" s="3" t="s">
        <v>135</v>
      </c>
      <c r="C19" s="6" t="s">
        <v>136</v>
      </c>
      <c r="D19" s="4" t="s">
        <v>6</v>
      </c>
      <c r="E19" s="18" t="n">
        <v>1930000</v>
      </c>
      <c r="F19" s="18"/>
      <c r="G19" s="18" t="n">
        <f aca="false">E19-IF(ISBLANK(F19),0,F19)</f>
        <v>1930000</v>
      </c>
      <c r="H19" s="19" t="n">
        <f aca="false">IFERROR(G19/G50*100,0)</f>
        <v>2.79305354558611</v>
      </c>
    </row>
    <row r="20" customFormat="false" ht="15" hidden="false" customHeight="false" outlineLevel="0" collapsed="false">
      <c r="A20" s="3" t="n">
        <v>19</v>
      </c>
      <c r="B20" s="3" t="s">
        <v>123</v>
      </c>
      <c r="C20" s="6" t="s">
        <v>124</v>
      </c>
      <c r="D20" s="4" t="s">
        <v>6</v>
      </c>
      <c r="E20" s="18" t="n">
        <v>1920000</v>
      </c>
      <c r="F20" s="18"/>
      <c r="G20" s="18" t="n">
        <f aca="false">E20-IF(ISBLANK(F20),0,F20)</f>
        <v>1920000</v>
      </c>
      <c r="H20" s="19" t="n">
        <f aca="false">IFERROR(G20/G50*100,0)</f>
        <v>2.77858176555716</v>
      </c>
    </row>
    <row r="21" customFormat="false" ht="15" hidden="false" customHeight="false" outlineLevel="0" collapsed="false">
      <c r="A21" s="3" t="n">
        <v>20</v>
      </c>
      <c r="B21" s="3" t="s">
        <v>181</v>
      </c>
      <c r="C21" s="6" t="s">
        <v>182</v>
      </c>
      <c r="D21" s="8" t="s">
        <v>180</v>
      </c>
      <c r="E21" s="18" t="n">
        <v>1910000</v>
      </c>
      <c r="F21" s="18"/>
      <c r="G21" s="18" t="n">
        <f aca="false">E21-IF(ISBLANK(F21),0,F21)</f>
        <v>1910000</v>
      </c>
      <c r="H21" s="19" t="n">
        <f aca="false">IFERROR(G21/G50*100,0)</f>
        <v>2.76410998552822</v>
      </c>
    </row>
    <row r="22" customFormat="false" ht="15" hidden="false" customHeight="false" outlineLevel="0" collapsed="false">
      <c r="A22" s="3" t="n">
        <v>21</v>
      </c>
      <c r="B22" s="3" t="s">
        <v>59</v>
      </c>
      <c r="C22" s="6" t="s">
        <v>60</v>
      </c>
      <c r="D22" s="4" t="s">
        <v>6</v>
      </c>
      <c r="E22" s="18" t="n">
        <v>1890000</v>
      </c>
      <c r="F22" s="18"/>
      <c r="G22" s="18" t="n">
        <f aca="false">E22-IF(ISBLANK(F22),0,F22)</f>
        <v>1890000</v>
      </c>
      <c r="H22" s="19" t="n">
        <f aca="false">IFERROR(G22/G50*100,0)</f>
        <v>2.73516642547033</v>
      </c>
    </row>
    <row r="23" customFormat="false" ht="15" hidden="false" customHeight="false" outlineLevel="0" collapsed="false">
      <c r="A23" s="3" t="n">
        <v>22</v>
      </c>
      <c r="B23" s="3" t="s">
        <v>163</v>
      </c>
      <c r="C23" s="6" t="s">
        <v>164</v>
      </c>
      <c r="D23" s="4" t="s">
        <v>6</v>
      </c>
      <c r="E23" s="18" t="n">
        <v>1730000</v>
      </c>
      <c r="F23" s="18"/>
      <c r="G23" s="18" t="n">
        <f aca="false">E23-IF(ISBLANK(F23),0,F23)</f>
        <v>1730000</v>
      </c>
      <c r="H23" s="19" t="n">
        <f aca="false">IFERROR(G23/G50*100,0)</f>
        <v>2.50361794500724</v>
      </c>
    </row>
    <row r="24" customFormat="false" ht="15" hidden="false" customHeight="false" outlineLevel="0" collapsed="false">
      <c r="A24" s="3" t="n">
        <v>23</v>
      </c>
      <c r="B24" s="3" t="s">
        <v>139</v>
      </c>
      <c r="C24" s="6" t="s">
        <v>140</v>
      </c>
      <c r="D24" s="4" t="s">
        <v>6</v>
      </c>
      <c r="E24" s="18" t="n">
        <v>1660000</v>
      </c>
      <c r="F24" s="18"/>
      <c r="G24" s="18" t="n">
        <f aca="false">E24-IF(ISBLANK(F24),0,F24)</f>
        <v>1660000</v>
      </c>
      <c r="H24" s="19" t="n">
        <f aca="false">IFERROR(G24/G50*100,0)</f>
        <v>2.40231548480463</v>
      </c>
    </row>
    <row r="25" customFormat="false" ht="15" hidden="false" customHeight="false" outlineLevel="0" collapsed="false">
      <c r="A25" s="3" t="n">
        <v>24</v>
      </c>
      <c r="B25" s="3" t="s">
        <v>103</v>
      </c>
      <c r="C25" s="6" t="s">
        <v>104</v>
      </c>
      <c r="D25" s="4" t="s">
        <v>6</v>
      </c>
      <c r="E25" s="18" t="n">
        <v>1500000</v>
      </c>
      <c r="F25" s="18"/>
      <c r="G25" s="18" t="n">
        <f aca="false">E25-IF(ISBLANK(F25),0,F25)</f>
        <v>1500000</v>
      </c>
      <c r="H25" s="19" t="n">
        <f aca="false">IFERROR(G25/G50*100,0)</f>
        <v>2.17076700434153</v>
      </c>
    </row>
    <row r="26" customFormat="false" ht="15" hidden="false" customHeight="false" outlineLevel="0" collapsed="false">
      <c r="A26" s="3" t="n">
        <v>25</v>
      </c>
      <c r="B26" s="3" t="s">
        <v>99</v>
      </c>
      <c r="C26" s="6" t="s">
        <v>100</v>
      </c>
      <c r="D26" s="4" t="s">
        <v>6</v>
      </c>
      <c r="E26" s="18" t="n">
        <v>1400000</v>
      </c>
      <c r="F26" s="18"/>
      <c r="G26" s="18" t="n">
        <f aca="false">E26-IF(ISBLANK(F26),0,F26)</f>
        <v>1400000</v>
      </c>
      <c r="H26" s="19" t="n">
        <f aca="false">IFERROR(G26/G50*100,0)</f>
        <v>2.0260492040521</v>
      </c>
    </row>
    <row r="27" customFormat="false" ht="15" hidden="false" customHeight="false" outlineLevel="0" collapsed="false">
      <c r="A27" s="3" t="n">
        <v>26</v>
      </c>
      <c r="B27" s="3" t="s">
        <v>27</v>
      </c>
      <c r="C27" s="6" t="s">
        <v>28</v>
      </c>
      <c r="D27" s="4" t="s">
        <v>6</v>
      </c>
      <c r="E27" s="18" t="n">
        <v>1350000</v>
      </c>
      <c r="F27" s="18"/>
      <c r="G27" s="18" t="n">
        <f aca="false">E27-IF(ISBLANK(F27),0,F27)</f>
        <v>1350000</v>
      </c>
      <c r="H27" s="19" t="n">
        <f aca="false">IFERROR(G27/G50*100,0)</f>
        <v>1.95369030390738</v>
      </c>
    </row>
    <row r="28" customFormat="false" ht="15" hidden="false" customHeight="false" outlineLevel="0" collapsed="false">
      <c r="A28" s="3" t="n">
        <v>27</v>
      </c>
      <c r="B28" s="3" t="s">
        <v>63</v>
      </c>
      <c r="C28" s="6" t="s">
        <v>64</v>
      </c>
      <c r="D28" s="4" t="s">
        <v>6</v>
      </c>
      <c r="E28" s="18" t="n">
        <v>1330000</v>
      </c>
      <c r="F28" s="18"/>
      <c r="G28" s="18" t="n">
        <f aca="false">E28-IF(ISBLANK(F28),0,F28)</f>
        <v>1330000</v>
      </c>
      <c r="H28" s="19" t="n">
        <f aca="false">IFERROR(G28/G50*100,0)</f>
        <v>1.92474674384949</v>
      </c>
    </row>
    <row r="29" customFormat="false" ht="15" hidden="false" customHeight="false" outlineLevel="0" collapsed="false">
      <c r="A29" s="3" t="n">
        <v>28</v>
      </c>
      <c r="B29" s="3" t="s">
        <v>35</v>
      </c>
      <c r="C29" s="6" t="s">
        <v>36</v>
      </c>
      <c r="D29" s="4" t="s">
        <v>6</v>
      </c>
      <c r="E29" s="18" t="n">
        <v>1300000</v>
      </c>
      <c r="F29" s="18"/>
      <c r="G29" s="18" t="n">
        <f aca="false">E29-IF(ISBLANK(F29),0,F29)</f>
        <v>1300000</v>
      </c>
      <c r="H29" s="19" t="n">
        <f aca="false">IFERROR(G29/G50*100,0)</f>
        <v>1.88133140376266</v>
      </c>
    </row>
    <row r="30" customFormat="false" ht="15" hidden="false" customHeight="false" outlineLevel="0" collapsed="false">
      <c r="A30" s="3" t="n">
        <v>29</v>
      </c>
      <c r="B30" s="3" t="s">
        <v>43</v>
      </c>
      <c r="C30" s="6" t="s">
        <v>44</v>
      </c>
      <c r="D30" s="4" t="s">
        <v>6</v>
      </c>
      <c r="E30" s="18" t="n">
        <v>1260000</v>
      </c>
      <c r="F30" s="18"/>
      <c r="G30" s="18" t="n">
        <f aca="false">E30-IF(ISBLANK(F30),0,F30)</f>
        <v>1260000</v>
      </c>
      <c r="H30" s="19" t="n">
        <f aca="false">IFERROR(G30/G50*100,0)</f>
        <v>1.82344428364689</v>
      </c>
    </row>
    <row r="31" customFormat="false" ht="15" hidden="false" customHeight="false" outlineLevel="0" collapsed="false">
      <c r="A31" s="3" t="n">
        <v>30</v>
      </c>
      <c r="B31" s="3" t="s">
        <v>15</v>
      </c>
      <c r="C31" s="6" t="s">
        <v>16</v>
      </c>
      <c r="D31" s="4" t="s">
        <v>6</v>
      </c>
      <c r="E31" s="18" t="n">
        <v>1200000</v>
      </c>
      <c r="F31" s="18"/>
      <c r="G31" s="18" t="n">
        <f aca="false">E31-IF(ISBLANK(F31),0,F31)</f>
        <v>1200000</v>
      </c>
      <c r="H31" s="19" t="n">
        <f aca="false">IFERROR(G31/G50*100,0)</f>
        <v>1.73661360347323</v>
      </c>
    </row>
    <row r="32" customFormat="false" ht="15" hidden="false" customHeight="false" outlineLevel="0" collapsed="false">
      <c r="A32" s="3" t="n">
        <v>31</v>
      </c>
      <c r="B32" s="3" t="s">
        <v>51</v>
      </c>
      <c r="C32" s="6" t="s">
        <v>52</v>
      </c>
      <c r="D32" s="4" t="s">
        <v>6</v>
      </c>
      <c r="E32" s="18" t="n">
        <v>1180000</v>
      </c>
      <c r="F32" s="18"/>
      <c r="G32" s="18" t="n">
        <f aca="false">E32-IF(ISBLANK(F32),0,F32)</f>
        <v>1180000</v>
      </c>
      <c r="H32" s="19" t="n">
        <f aca="false">IFERROR(G32/G50*100,0)</f>
        <v>1.70767004341534</v>
      </c>
    </row>
    <row r="33" customFormat="false" ht="15" hidden="false" customHeight="false" outlineLevel="0" collapsed="false">
      <c r="A33" s="3" t="n">
        <v>32</v>
      </c>
      <c r="B33" s="3" t="s">
        <v>185</v>
      </c>
      <c r="C33" s="6" t="s">
        <v>186</v>
      </c>
      <c r="D33" s="8" t="s">
        <v>180</v>
      </c>
      <c r="E33" s="18" t="n">
        <v>1180000</v>
      </c>
      <c r="F33" s="18"/>
      <c r="G33" s="18" t="n">
        <f aca="false">E33-IF(ISBLANK(F33),0,F33)</f>
        <v>1180000</v>
      </c>
      <c r="H33" s="19" t="n">
        <f aca="false">IFERROR(G33/G50*100,0)</f>
        <v>1.70767004341534</v>
      </c>
    </row>
    <row r="34" customFormat="false" ht="15" hidden="false" customHeight="false" outlineLevel="0" collapsed="false">
      <c r="A34" s="3" t="n">
        <v>33</v>
      </c>
      <c r="B34" s="3" t="s">
        <v>91</v>
      </c>
      <c r="C34" s="6" t="s">
        <v>92</v>
      </c>
      <c r="D34" s="4" t="s">
        <v>6</v>
      </c>
      <c r="E34" s="18" t="n">
        <v>1170000</v>
      </c>
      <c r="F34" s="18"/>
      <c r="G34" s="18" t="n">
        <f aca="false">E34-IF(ISBLANK(F34),0,F34)</f>
        <v>1170000</v>
      </c>
      <c r="H34" s="19" t="n">
        <f aca="false">IFERROR(G34/G50*100,0)</f>
        <v>1.6931982633864</v>
      </c>
    </row>
    <row r="35" customFormat="false" ht="15" hidden="false" customHeight="false" outlineLevel="0" collapsed="false">
      <c r="A35" s="3" t="n">
        <v>34</v>
      </c>
      <c r="B35" s="3" t="s">
        <v>19</v>
      </c>
      <c r="C35" s="6" t="s">
        <v>20</v>
      </c>
      <c r="D35" s="4" t="s">
        <v>6</v>
      </c>
      <c r="E35" s="18" t="n">
        <v>1130000</v>
      </c>
      <c r="F35" s="18"/>
      <c r="G35" s="18" t="n">
        <f aca="false">E35-IF(ISBLANK(F35),0,F35)</f>
        <v>1130000</v>
      </c>
      <c r="H35" s="19" t="n">
        <f aca="false">IFERROR(G35/G50*100,0)</f>
        <v>1.63531114327062</v>
      </c>
    </row>
    <row r="36" customFormat="false" ht="15" hidden="false" customHeight="false" outlineLevel="0" collapsed="false">
      <c r="A36" s="3" t="n">
        <v>35</v>
      </c>
      <c r="B36" s="3" t="s">
        <v>11</v>
      </c>
      <c r="C36" s="6" t="s">
        <v>12</v>
      </c>
      <c r="D36" s="4" t="s">
        <v>6</v>
      </c>
      <c r="E36" s="18" t="n">
        <v>1010000</v>
      </c>
      <c r="F36" s="20" t="n">
        <v>150000</v>
      </c>
      <c r="G36" s="18" t="n">
        <f aca="false">E36-IF(ISBLANK(F36),0,F36)</f>
        <v>860000</v>
      </c>
      <c r="H36" s="19" t="n">
        <f aca="false">IFERROR(G36/G50*100,0)</f>
        <v>1.24457308248915</v>
      </c>
    </row>
    <row r="37" customFormat="false" ht="15" hidden="false" customHeight="false" outlineLevel="0" collapsed="false">
      <c r="A37" s="3" t="n">
        <v>36</v>
      </c>
      <c r="B37" s="3" t="s">
        <v>7</v>
      </c>
      <c r="C37" s="5" t="s">
        <v>8</v>
      </c>
      <c r="D37" s="4" t="s">
        <v>6</v>
      </c>
      <c r="E37" s="18" t="n">
        <v>970000</v>
      </c>
      <c r="F37" s="20" t="n">
        <v>150000</v>
      </c>
      <c r="G37" s="18" t="n">
        <f aca="false">E37-IF(ISBLANK(F37),0,F37)</f>
        <v>820000</v>
      </c>
      <c r="H37" s="19" t="n">
        <f aca="false">IFERROR(G37/G50*100,0)</f>
        <v>1.18668596237337</v>
      </c>
    </row>
    <row r="38" customFormat="false" ht="15" hidden="false" customHeight="false" outlineLevel="0" collapsed="false">
      <c r="A38" s="3" t="n">
        <v>37</v>
      </c>
      <c r="B38" s="3" t="s">
        <v>147</v>
      </c>
      <c r="C38" s="6" t="s">
        <v>148</v>
      </c>
      <c r="D38" s="4" t="s">
        <v>6</v>
      </c>
      <c r="E38" s="18" t="n">
        <v>870000</v>
      </c>
      <c r="F38" s="18"/>
      <c r="G38" s="18" t="n">
        <f aca="false">E38-IF(ISBLANK(F38),0,F38)</f>
        <v>870000</v>
      </c>
      <c r="H38" s="19" t="n">
        <f aca="false">IFERROR(G38/G50*100,0)</f>
        <v>1.25904486251809</v>
      </c>
    </row>
    <row r="39" customFormat="false" ht="15" hidden="false" customHeight="false" outlineLevel="0" collapsed="false">
      <c r="A39" s="3" t="n">
        <v>38</v>
      </c>
      <c r="B39" s="3" t="s">
        <v>87</v>
      </c>
      <c r="C39" s="6" t="s">
        <v>88</v>
      </c>
      <c r="D39" s="4" t="s">
        <v>6</v>
      </c>
      <c r="E39" s="18" t="n">
        <v>790000</v>
      </c>
      <c r="F39" s="18"/>
      <c r="G39" s="18" t="n">
        <f aca="false">E39-IF(ISBLANK(F39),0,F39)</f>
        <v>790000</v>
      </c>
      <c r="H39" s="19" t="n">
        <f aca="false">IFERROR(G39/G50*100,0)</f>
        <v>1.14327062228654</v>
      </c>
    </row>
    <row r="40" customFormat="false" ht="15" hidden="false" customHeight="false" outlineLevel="0" collapsed="false">
      <c r="A40" s="3" t="n">
        <v>39</v>
      </c>
      <c r="B40" s="3" t="s">
        <v>143</v>
      </c>
      <c r="C40" s="6" t="s">
        <v>144</v>
      </c>
      <c r="D40" s="4" t="s">
        <v>6</v>
      </c>
      <c r="E40" s="18" t="n">
        <v>740000</v>
      </c>
      <c r="F40" s="18"/>
      <c r="G40" s="18" t="n">
        <f aca="false">E40-IF(ISBLANK(F40),0,F40)</f>
        <v>740000</v>
      </c>
      <c r="H40" s="19" t="n">
        <f aca="false">IFERROR(G40/G50*100,0)</f>
        <v>1.07091172214182</v>
      </c>
    </row>
    <row r="41" customFormat="false" ht="15" hidden="false" customHeight="false" outlineLevel="0" collapsed="false">
      <c r="A41" s="3" t="n">
        <v>40</v>
      </c>
      <c r="B41" s="3" t="s">
        <v>127</v>
      </c>
      <c r="C41" s="6" t="s">
        <v>128</v>
      </c>
      <c r="D41" s="4" t="s">
        <v>6</v>
      </c>
      <c r="E41" s="18" t="n">
        <v>530000</v>
      </c>
      <c r="F41" s="18"/>
      <c r="G41" s="18" t="n">
        <f aca="false">E41-IF(ISBLANK(F41),0,F41)</f>
        <v>530000</v>
      </c>
      <c r="H41" s="19" t="n">
        <f aca="false">IFERROR(G41/G50*100,0)</f>
        <v>0.767004341534009</v>
      </c>
    </row>
    <row r="42" customFormat="false" ht="15" hidden="false" customHeight="false" outlineLevel="0" collapsed="false">
      <c r="A42" s="3" t="n">
        <v>41</v>
      </c>
      <c r="B42" s="3" t="s">
        <v>47</v>
      </c>
      <c r="C42" s="6" t="s">
        <v>48</v>
      </c>
      <c r="D42" s="4" t="s">
        <v>6</v>
      </c>
      <c r="E42" s="18" t="n">
        <v>510000</v>
      </c>
      <c r="F42" s="18"/>
      <c r="G42" s="18" t="n">
        <f aca="false">E42-IF(ISBLANK(F42),0,F42)</f>
        <v>510000</v>
      </c>
      <c r="H42" s="19" t="n">
        <f aca="false">IFERROR(G42/G50*100,0)</f>
        <v>0.738060781476122</v>
      </c>
    </row>
    <row r="43" customFormat="false" ht="15" hidden="false" customHeight="false" outlineLevel="0" collapsed="false">
      <c r="A43" s="3" t="n">
        <v>42</v>
      </c>
      <c r="B43" s="3" t="s">
        <v>176</v>
      </c>
      <c r="C43" s="6" t="s">
        <v>177</v>
      </c>
      <c r="D43" s="7" t="s">
        <v>167</v>
      </c>
      <c r="E43" s="18" t="n">
        <v>500000</v>
      </c>
      <c r="F43" s="18"/>
      <c r="G43" s="18" t="n">
        <f aca="false">E43-IF(ISBLANK(F43),0,F43)</f>
        <v>500000</v>
      </c>
      <c r="H43" s="19" t="n">
        <f aca="false">IFERROR(G43/G50*100,0)</f>
        <v>0.723589001447178</v>
      </c>
    </row>
    <row r="44" customFormat="false" ht="15" hidden="false" customHeight="false" outlineLevel="0" collapsed="false">
      <c r="A44" s="3" t="n">
        <v>43</v>
      </c>
      <c r="B44" s="3" t="s">
        <v>39</v>
      </c>
      <c r="C44" s="6" t="s">
        <v>40</v>
      </c>
      <c r="D44" s="4" t="s">
        <v>6</v>
      </c>
      <c r="E44" s="18" t="n">
        <v>480000</v>
      </c>
      <c r="F44" s="18"/>
      <c r="G44" s="18" t="n">
        <f aca="false">E44-IF(ISBLANK(F44),0,F44)</f>
        <v>480000</v>
      </c>
      <c r="H44" s="19" t="n">
        <f aca="false">IFERROR(G44/G50*100,0)</f>
        <v>0.694645441389291</v>
      </c>
    </row>
    <row r="45" customFormat="false" ht="15" hidden="false" customHeight="false" outlineLevel="0" collapsed="false">
      <c r="A45" s="3" t="n">
        <v>44</v>
      </c>
      <c r="B45" s="3" t="s">
        <v>151</v>
      </c>
      <c r="C45" s="6" t="s">
        <v>152</v>
      </c>
      <c r="D45" s="4" t="s">
        <v>6</v>
      </c>
      <c r="E45" s="18" t="n">
        <v>340000</v>
      </c>
      <c r="F45" s="18"/>
      <c r="G45" s="18" t="n">
        <f aca="false">E45-IF(ISBLANK(F45),0,F45)</f>
        <v>340000</v>
      </c>
      <c r="H45" s="19" t="n">
        <f aca="false">IFERROR(G45/G50*100,0)</f>
        <v>0.492040520984081</v>
      </c>
    </row>
    <row r="46" customFormat="false" ht="15" hidden="false" customHeight="false" outlineLevel="0" collapsed="false">
      <c r="A46" s="3" t="n">
        <v>45</v>
      </c>
      <c r="B46" s="3" t="s">
        <v>168</v>
      </c>
      <c r="C46" s="6" t="s">
        <v>169</v>
      </c>
      <c r="D46" s="7" t="s">
        <v>167</v>
      </c>
      <c r="E46" s="18" t="n">
        <v>330000</v>
      </c>
      <c r="F46" s="18"/>
      <c r="G46" s="18" t="n">
        <f aca="false">E46-IF(ISBLANK(F46),0,F46)</f>
        <v>330000</v>
      </c>
      <c r="H46" s="19" t="n">
        <f aca="false">IFERROR(G46/G50*100,0)</f>
        <v>0.477568740955137</v>
      </c>
    </row>
    <row r="47" customFormat="false" ht="15" hidden="false" customHeight="false" outlineLevel="0" collapsed="false">
      <c r="A47" s="3" t="n">
        <v>46</v>
      </c>
      <c r="B47" s="3" t="s">
        <v>172</v>
      </c>
      <c r="C47" s="6" t="s">
        <v>173</v>
      </c>
      <c r="D47" s="7" t="s">
        <v>167</v>
      </c>
      <c r="E47" s="18" t="n">
        <v>330000</v>
      </c>
      <c r="F47" s="18"/>
      <c r="G47" s="18" t="n">
        <f aca="false">E47-IF(ISBLANK(F47),0,F47)</f>
        <v>330000</v>
      </c>
      <c r="H47" s="19" t="n">
        <f aca="false">IFERROR(G47/G50*100,0)</f>
        <v>0.477568740955137</v>
      </c>
    </row>
    <row r="48" customFormat="false" ht="15" hidden="false" customHeight="false" outlineLevel="0" collapsed="false">
      <c r="A48" s="3" t="n">
        <v>47</v>
      </c>
      <c r="B48" s="3" t="s">
        <v>119</v>
      </c>
      <c r="C48" s="6" t="s">
        <v>120</v>
      </c>
      <c r="D48" s="4" t="s">
        <v>6</v>
      </c>
      <c r="E48" s="18" t="n">
        <v>270000</v>
      </c>
      <c r="F48" s="18"/>
      <c r="G48" s="18" t="n">
        <f aca="false">E48-IF(ISBLANK(F48),0,F48)</f>
        <v>270000</v>
      </c>
      <c r="H48" s="19" t="n">
        <f aca="false">IFERROR(G48/G50*100,0)</f>
        <v>0.390738060781476</v>
      </c>
    </row>
    <row r="49" customFormat="false" ht="15" hidden="false" customHeight="false" outlineLevel="0" collapsed="false">
      <c r="A49" s="3" t="n">
        <v>48</v>
      </c>
      <c r="B49" s="3" t="s">
        <v>159</v>
      </c>
      <c r="C49" s="6" t="s">
        <v>160</v>
      </c>
      <c r="D49" s="4" t="s">
        <v>6</v>
      </c>
      <c r="E49" s="18" t="n">
        <v>240000</v>
      </c>
      <c r="F49" s="18"/>
      <c r="G49" s="18" t="n">
        <f aca="false">E49-IF(ISBLANK(F49),0,F49)</f>
        <v>240000</v>
      </c>
      <c r="H49" s="19" t="n">
        <f aca="false">IFERROR(G49/G50*100,0)</f>
        <v>0.347322720694645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69760000</v>
      </c>
      <c r="F50" s="17" t="n">
        <f aca="false">SUM(F2:F49)</f>
        <v>660000</v>
      </c>
      <c r="G50" s="17" t="n">
        <f aca="false">SUM(G2:G49)</f>
        <v>69100000</v>
      </c>
      <c r="H50" s="2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8" min="8" style="0" width="12"/>
  </cols>
  <sheetData>
    <row r="1" customFormat="false" ht="17.15" hidden="false" customHeight="false" outlineLevel="0" collapsed="false">
      <c r="A1" s="2" t="s">
        <v>214</v>
      </c>
      <c r="B1" s="2" t="s">
        <v>2</v>
      </c>
      <c r="C1" s="2" t="s">
        <v>3</v>
      </c>
      <c r="D1" s="2" t="s">
        <v>1</v>
      </c>
      <c r="E1" s="2" t="s">
        <v>215</v>
      </c>
      <c r="F1" s="2" t="s">
        <v>216</v>
      </c>
      <c r="G1" s="2" t="s">
        <v>217</v>
      </c>
      <c r="H1" s="2" t="s">
        <v>218</v>
      </c>
    </row>
    <row r="2" customFormat="false" ht="15" hidden="false" customHeight="false" outlineLevel="0" collapsed="false">
      <c r="A2" s="3" t="n">
        <v>1</v>
      </c>
      <c r="B2" s="3" t="s">
        <v>143</v>
      </c>
      <c r="C2" s="6" t="s">
        <v>144</v>
      </c>
      <c r="D2" s="4" t="s">
        <v>6</v>
      </c>
      <c r="E2" s="18" t="n">
        <v>3000000</v>
      </c>
      <c r="F2" s="18"/>
      <c r="G2" s="18" t="n">
        <f aca="false">E2-IF(ISBLANK(F2),0,F2)</f>
        <v>3000000</v>
      </c>
      <c r="H2" s="19" t="n">
        <f aca="false">IFERROR(G2/G50*100,0)</f>
        <v>3.99893361770195</v>
      </c>
    </row>
    <row r="3" customFormat="false" ht="15" hidden="false" customHeight="false" outlineLevel="0" collapsed="false">
      <c r="A3" s="3" t="n">
        <v>2</v>
      </c>
      <c r="B3" s="3" t="s">
        <v>87</v>
      </c>
      <c r="C3" s="6" t="s">
        <v>88</v>
      </c>
      <c r="D3" s="4" t="s">
        <v>6</v>
      </c>
      <c r="E3" s="18" t="n">
        <v>2940000</v>
      </c>
      <c r="F3" s="18"/>
      <c r="G3" s="18" t="n">
        <f aca="false">E3-IF(ISBLANK(F3),0,F3)</f>
        <v>2940000</v>
      </c>
      <c r="H3" s="19" t="n">
        <f aca="false">IFERROR(G3/G50*100,0)</f>
        <v>3.91895494534791</v>
      </c>
    </row>
    <row r="4" customFormat="false" ht="15" hidden="false" customHeight="false" outlineLevel="0" collapsed="false">
      <c r="A4" s="3" t="n">
        <v>3</v>
      </c>
      <c r="B4" s="3" t="s">
        <v>147</v>
      </c>
      <c r="C4" s="6" t="s">
        <v>148</v>
      </c>
      <c r="D4" s="4" t="s">
        <v>6</v>
      </c>
      <c r="E4" s="18" t="n">
        <v>2840000</v>
      </c>
      <c r="F4" s="18"/>
      <c r="G4" s="18" t="n">
        <f aca="false">E4-IF(ISBLANK(F4),0,F4)</f>
        <v>2840000</v>
      </c>
      <c r="H4" s="19" t="n">
        <f aca="false">IFERROR(G4/G50*100,0)</f>
        <v>3.78565715809118</v>
      </c>
    </row>
    <row r="5" customFormat="false" ht="15" hidden="false" customHeight="false" outlineLevel="0" collapsed="false">
      <c r="A5" s="3" t="n">
        <v>4</v>
      </c>
      <c r="B5" s="3" t="s">
        <v>7</v>
      </c>
      <c r="C5" s="5" t="s">
        <v>8</v>
      </c>
      <c r="D5" s="4" t="s">
        <v>6</v>
      </c>
      <c r="E5" s="18" t="n">
        <v>2710000</v>
      </c>
      <c r="F5" s="18"/>
      <c r="G5" s="18" t="n">
        <f aca="false">E5-IF(ISBLANK(F5),0,F5)</f>
        <v>2710000</v>
      </c>
      <c r="H5" s="19" t="n">
        <f aca="false">IFERROR(G5/G50*100,0)</f>
        <v>3.61237003465743</v>
      </c>
    </row>
    <row r="6" customFormat="false" ht="15" hidden="false" customHeight="false" outlineLevel="0" collapsed="false">
      <c r="A6" s="3" t="n">
        <v>5</v>
      </c>
      <c r="B6" s="3" t="s">
        <v>11</v>
      </c>
      <c r="C6" s="6" t="s">
        <v>12</v>
      </c>
      <c r="D6" s="4" t="s">
        <v>6</v>
      </c>
      <c r="E6" s="18" t="n">
        <v>2670000</v>
      </c>
      <c r="F6" s="18"/>
      <c r="G6" s="18" t="n">
        <f aca="false">E6-IF(ISBLANK(F6),0,F6)</f>
        <v>2670000</v>
      </c>
      <c r="H6" s="19" t="n">
        <f aca="false">IFERROR(G6/G50*100,0)</f>
        <v>3.55905091975473</v>
      </c>
    </row>
    <row r="7" customFormat="false" ht="15" hidden="false" customHeight="false" outlineLevel="0" collapsed="false">
      <c r="A7" s="3" t="n">
        <v>6</v>
      </c>
      <c r="B7" s="3" t="s">
        <v>19</v>
      </c>
      <c r="C7" s="6" t="s">
        <v>20</v>
      </c>
      <c r="D7" s="4" t="s">
        <v>6</v>
      </c>
      <c r="E7" s="18" t="n">
        <v>2520000</v>
      </c>
      <c r="F7" s="18"/>
      <c r="G7" s="18" t="n">
        <f aca="false">E7-IF(ISBLANK(F7),0,F7)</f>
        <v>2520000</v>
      </c>
      <c r="H7" s="19" t="n">
        <f aca="false">IFERROR(G7/G50*100,0)</f>
        <v>3.35910423886963</v>
      </c>
    </row>
    <row r="8" customFormat="false" ht="15" hidden="false" customHeight="false" outlineLevel="0" collapsed="false">
      <c r="A8" s="3" t="n">
        <v>7</v>
      </c>
      <c r="B8" s="3" t="s">
        <v>91</v>
      </c>
      <c r="C8" s="6" t="s">
        <v>92</v>
      </c>
      <c r="D8" s="4" t="s">
        <v>6</v>
      </c>
      <c r="E8" s="18" t="n">
        <v>2470000</v>
      </c>
      <c r="F8" s="20" t="n">
        <v>370000</v>
      </c>
      <c r="G8" s="18" t="n">
        <f aca="false">E8-IF(ISBLANK(F8),0,F8)</f>
        <v>2100000</v>
      </c>
      <c r="H8" s="19" t="n">
        <f aca="false">IFERROR(G8/G50*100,0)</f>
        <v>2.79925353239136</v>
      </c>
    </row>
    <row r="9" customFormat="false" ht="15" hidden="false" customHeight="false" outlineLevel="0" collapsed="false">
      <c r="A9" s="3" t="n">
        <v>8</v>
      </c>
      <c r="B9" s="3" t="s">
        <v>51</v>
      </c>
      <c r="C9" s="6" t="s">
        <v>52</v>
      </c>
      <c r="D9" s="4" t="s">
        <v>6</v>
      </c>
      <c r="E9" s="18" t="n">
        <v>2460000</v>
      </c>
      <c r="F9" s="20" t="n">
        <v>370000</v>
      </c>
      <c r="G9" s="18" t="n">
        <f aca="false">E9-IF(ISBLANK(F9),0,F9)</f>
        <v>2090000</v>
      </c>
      <c r="H9" s="19" t="n">
        <f aca="false">IFERROR(G9/G50*100,0)</f>
        <v>2.78592375366569</v>
      </c>
    </row>
    <row r="10" customFormat="false" ht="15" hidden="false" customHeight="false" outlineLevel="0" collapsed="false">
      <c r="A10" s="3" t="n">
        <v>9</v>
      </c>
      <c r="B10" s="3" t="s">
        <v>185</v>
      </c>
      <c r="C10" s="6" t="s">
        <v>186</v>
      </c>
      <c r="D10" s="8" t="s">
        <v>180</v>
      </c>
      <c r="E10" s="18" t="n">
        <v>2460000</v>
      </c>
      <c r="F10" s="18"/>
      <c r="G10" s="18" t="n">
        <f aca="false">E10-IF(ISBLANK(F10),0,F10)</f>
        <v>2460000</v>
      </c>
      <c r="H10" s="19" t="n">
        <f aca="false">IFERROR(G10/G50*100,0)</f>
        <v>3.2791255665156</v>
      </c>
    </row>
    <row r="11" customFormat="false" ht="15" hidden="false" customHeight="false" outlineLevel="0" collapsed="false">
      <c r="A11" s="3" t="n">
        <v>10</v>
      </c>
      <c r="B11" s="3" t="s">
        <v>15</v>
      </c>
      <c r="C11" s="6" t="s">
        <v>16</v>
      </c>
      <c r="D11" s="4" t="s">
        <v>6</v>
      </c>
      <c r="E11" s="18" t="n">
        <v>2440000</v>
      </c>
      <c r="F11" s="20" t="n">
        <v>370000</v>
      </c>
      <c r="G11" s="18" t="n">
        <f aca="false">E11-IF(ISBLANK(F11),0,F11)</f>
        <v>2070000</v>
      </c>
      <c r="H11" s="19" t="n">
        <f aca="false">IFERROR(G11/G50*100,0)</f>
        <v>2.75926419621434</v>
      </c>
    </row>
    <row r="12" customFormat="false" ht="15" hidden="false" customHeight="false" outlineLevel="0" collapsed="false">
      <c r="A12" s="3" t="n">
        <v>11</v>
      </c>
      <c r="B12" s="3" t="s">
        <v>43</v>
      </c>
      <c r="C12" s="6" t="s">
        <v>44</v>
      </c>
      <c r="D12" s="4" t="s">
        <v>6</v>
      </c>
      <c r="E12" s="18" t="n">
        <v>2360000</v>
      </c>
      <c r="F12" s="18"/>
      <c r="G12" s="18" t="n">
        <f aca="false">E12-IF(ISBLANK(F12),0,F12)</f>
        <v>2360000</v>
      </c>
      <c r="H12" s="19" t="n">
        <f aca="false">IFERROR(G12/G50*100,0)</f>
        <v>3.14582777925886</v>
      </c>
    </row>
    <row r="13" customFormat="false" ht="15" hidden="false" customHeight="false" outlineLevel="0" collapsed="false">
      <c r="A13" s="3" t="n">
        <v>12</v>
      </c>
      <c r="B13" s="3" t="s">
        <v>35</v>
      </c>
      <c r="C13" s="6" t="s">
        <v>36</v>
      </c>
      <c r="D13" s="4" t="s">
        <v>6</v>
      </c>
      <c r="E13" s="18" t="n">
        <v>2320000</v>
      </c>
      <c r="F13" s="18"/>
      <c r="G13" s="18" t="n">
        <f aca="false">E13-IF(ISBLANK(F13),0,F13)</f>
        <v>2320000</v>
      </c>
      <c r="H13" s="19" t="n">
        <f aca="false">IFERROR(G13/G50*100,0)</f>
        <v>3.09250866435617</v>
      </c>
    </row>
    <row r="14" customFormat="false" ht="15" hidden="false" customHeight="false" outlineLevel="0" collapsed="false">
      <c r="A14" s="3" t="n">
        <v>13</v>
      </c>
      <c r="B14" s="3" t="s">
        <v>63</v>
      </c>
      <c r="C14" s="6" t="s">
        <v>64</v>
      </c>
      <c r="D14" s="4" t="s">
        <v>6</v>
      </c>
      <c r="E14" s="18" t="n">
        <v>2270000</v>
      </c>
      <c r="F14" s="18"/>
      <c r="G14" s="18" t="n">
        <f aca="false">E14-IF(ISBLANK(F14),0,F14)</f>
        <v>2270000</v>
      </c>
      <c r="H14" s="19" t="n">
        <f aca="false">IFERROR(G14/G50*100,0)</f>
        <v>3.02585977072781</v>
      </c>
    </row>
    <row r="15" customFormat="false" ht="15" hidden="false" customHeight="false" outlineLevel="0" collapsed="false">
      <c r="A15" s="3" t="n">
        <v>14</v>
      </c>
      <c r="B15" s="3" t="s">
        <v>27</v>
      </c>
      <c r="C15" s="6" t="s">
        <v>28</v>
      </c>
      <c r="D15" s="4" t="s">
        <v>6</v>
      </c>
      <c r="E15" s="18" t="n">
        <v>2260000</v>
      </c>
      <c r="F15" s="20" t="n">
        <v>340000</v>
      </c>
      <c r="G15" s="18" t="n">
        <f aca="false">E15-IF(ISBLANK(F15),0,F15)</f>
        <v>1920000</v>
      </c>
      <c r="H15" s="19" t="n">
        <f aca="false">IFERROR(G15/G50*100,0)</f>
        <v>2.55931751532925</v>
      </c>
    </row>
    <row r="16" customFormat="false" ht="15" hidden="false" customHeight="false" outlineLevel="0" collapsed="false">
      <c r="A16" s="3" t="n">
        <v>15</v>
      </c>
      <c r="B16" s="3" t="s">
        <v>99</v>
      </c>
      <c r="C16" s="6" t="s">
        <v>100</v>
      </c>
      <c r="D16" s="4" t="s">
        <v>6</v>
      </c>
      <c r="E16" s="18" t="n">
        <v>2190000</v>
      </c>
      <c r="F16" s="18"/>
      <c r="G16" s="18" t="n">
        <f aca="false">E16-IF(ISBLANK(F16),0,F16)</f>
        <v>2190000</v>
      </c>
      <c r="H16" s="19" t="n">
        <f aca="false">IFERROR(G16/G50*100,0)</f>
        <v>2.91922154092242</v>
      </c>
    </row>
    <row r="17" customFormat="false" ht="15" hidden="false" customHeight="false" outlineLevel="0" collapsed="false">
      <c r="A17" s="3" t="n">
        <v>16</v>
      </c>
      <c r="B17" s="3" t="s">
        <v>103</v>
      </c>
      <c r="C17" s="6" t="s">
        <v>104</v>
      </c>
      <c r="D17" s="4" t="s">
        <v>6</v>
      </c>
      <c r="E17" s="18" t="n">
        <v>2070000</v>
      </c>
      <c r="F17" s="18"/>
      <c r="G17" s="18" t="n">
        <f aca="false">E17-IF(ISBLANK(F17),0,F17)</f>
        <v>2070000</v>
      </c>
      <c r="H17" s="19" t="n">
        <f aca="false">IFERROR(G17/G50*100,0)</f>
        <v>2.75926419621434</v>
      </c>
    </row>
    <row r="18" customFormat="false" ht="15" hidden="false" customHeight="false" outlineLevel="0" collapsed="false">
      <c r="A18" s="3" t="n">
        <v>17</v>
      </c>
      <c r="B18" s="3" t="s">
        <v>139</v>
      </c>
      <c r="C18" s="6" t="s">
        <v>140</v>
      </c>
      <c r="D18" s="4" t="s">
        <v>6</v>
      </c>
      <c r="E18" s="18" t="n">
        <v>1870000</v>
      </c>
      <c r="F18" s="18"/>
      <c r="G18" s="18" t="n">
        <f aca="false">E18-IF(ISBLANK(F18),0,F18)</f>
        <v>1870000</v>
      </c>
      <c r="H18" s="19" t="n">
        <f aca="false">IFERROR(G18/G50*100,0)</f>
        <v>2.49266862170088</v>
      </c>
    </row>
    <row r="19" customFormat="false" ht="15" hidden="false" customHeight="false" outlineLevel="0" collapsed="false">
      <c r="A19" s="3" t="n">
        <v>18</v>
      </c>
      <c r="B19" s="3" t="s">
        <v>163</v>
      </c>
      <c r="C19" s="6" t="s">
        <v>164</v>
      </c>
      <c r="D19" s="4" t="s">
        <v>6</v>
      </c>
      <c r="E19" s="18" t="n">
        <v>1780000</v>
      </c>
      <c r="F19" s="18"/>
      <c r="G19" s="18" t="n">
        <f aca="false">E19-IF(ISBLANK(F19),0,F19)</f>
        <v>1780000</v>
      </c>
      <c r="H19" s="19" t="n">
        <f aca="false">IFERROR(G19/G50*100,0)</f>
        <v>2.37270061316982</v>
      </c>
    </row>
    <row r="20" customFormat="false" ht="15" hidden="false" customHeight="false" outlineLevel="0" collapsed="false">
      <c r="A20" s="3" t="n">
        <v>19</v>
      </c>
      <c r="B20" s="3" t="s">
        <v>59</v>
      </c>
      <c r="C20" s="6" t="s">
        <v>60</v>
      </c>
      <c r="D20" s="4" t="s">
        <v>6</v>
      </c>
      <c r="E20" s="18" t="n">
        <v>1590000</v>
      </c>
      <c r="F20" s="20" t="n">
        <v>240000</v>
      </c>
      <c r="G20" s="18" t="n">
        <f aca="false">E20-IF(ISBLANK(F20),0,F20)</f>
        <v>1350000</v>
      </c>
      <c r="H20" s="19" t="n">
        <f aca="false">IFERROR(G20/G50*100,0)</f>
        <v>1.79952012796588</v>
      </c>
    </row>
    <row r="21" customFormat="false" ht="15" hidden="false" customHeight="false" outlineLevel="0" collapsed="false">
      <c r="A21" s="3" t="n">
        <v>20</v>
      </c>
      <c r="B21" s="3" t="s">
        <v>181</v>
      </c>
      <c r="C21" s="6" t="s">
        <v>182</v>
      </c>
      <c r="D21" s="8" t="s">
        <v>180</v>
      </c>
      <c r="E21" s="18" t="n">
        <v>1570000</v>
      </c>
      <c r="F21" s="18"/>
      <c r="G21" s="18" t="n">
        <f aca="false">E21-IF(ISBLANK(F21),0,F21)</f>
        <v>1570000</v>
      </c>
      <c r="H21" s="19" t="n">
        <f aca="false">IFERROR(G21/G50*100,0)</f>
        <v>2.09277525993069</v>
      </c>
    </row>
    <row r="22" customFormat="false" ht="15" hidden="false" customHeight="false" outlineLevel="0" collapsed="false">
      <c r="A22" s="3" t="n">
        <v>21</v>
      </c>
      <c r="B22" s="3" t="s">
        <v>123</v>
      </c>
      <c r="C22" s="6" t="s">
        <v>124</v>
      </c>
      <c r="D22" s="4" t="s">
        <v>6</v>
      </c>
      <c r="E22" s="18" t="n">
        <v>1550000</v>
      </c>
      <c r="F22" s="18"/>
      <c r="G22" s="18" t="n">
        <f aca="false">E22-IF(ISBLANK(F22),0,F22)</f>
        <v>1550000</v>
      </c>
      <c r="H22" s="19" t="n">
        <f aca="false">IFERROR(G22/G50*100,0)</f>
        <v>2.06611570247934</v>
      </c>
    </row>
    <row r="23" customFormat="false" ht="15" hidden="false" customHeight="false" outlineLevel="0" collapsed="false">
      <c r="A23" s="3" t="n">
        <v>22</v>
      </c>
      <c r="B23" s="3" t="s">
        <v>79</v>
      </c>
      <c r="C23" s="6" t="s">
        <v>80</v>
      </c>
      <c r="D23" s="4" t="s">
        <v>6</v>
      </c>
      <c r="E23" s="18" t="n">
        <v>1540000</v>
      </c>
      <c r="F23" s="18"/>
      <c r="G23" s="18" t="n">
        <f aca="false">E23-IF(ISBLANK(F23),0,F23)</f>
        <v>1540000</v>
      </c>
      <c r="H23" s="19" t="n">
        <f aca="false">IFERROR(G23/G50*100,0)</f>
        <v>2.05278592375367</v>
      </c>
    </row>
    <row r="24" customFormat="false" ht="15" hidden="false" customHeight="false" outlineLevel="0" collapsed="false">
      <c r="A24" s="3" t="n">
        <v>23</v>
      </c>
      <c r="B24" s="3" t="s">
        <v>135</v>
      </c>
      <c r="C24" s="6" t="s">
        <v>136</v>
      </c>
      <c r="D24" s="4" t="s">
        <v>6</v>
      </c>
      <c r="E24" s="18" t="n">
        <v>1540000</v>
      </c>
      <c r="F24" s="18"/>
      <c r="G24" s="18" t="n">
        <f aca="false">E24-IF(ISBLANK(F24),0,F24)</f>
        <v>1540000</v>
      </c>
      <c r="H24" s="19" t="n">
        <f aca="false">IFERROR(G24/G50*100,0)</f>
        <v>2.05278592375367</v>
      </c>
    </row>
    <row r="25" customFormat="false" ht="15" hidden="false" customHeight="false" outlineLevel="0" collapsed="false">
      <c r="A25" s="3" t="n">
        <v>24</v>
      </c>
      <c r="B25" s="3" t="s">
        <v>75</v>
      </c>
      <c r="C25" s="6" t="s">
        <v>76</v>
      </c>
      <c r="D25" s="4" t="s">
        <v>6</v>
      </c>
      <c r="E25" s="18" t="n">
        <v>1510000</v>
      </c>
      <c r="F25" s="18"/>
      <c r="G25" s="18" t="n">
        <f aca="false">E25-IF(ISBLANK(F25),0,F25)</f>
        <v>1510000</v>
      </c>
      <c r="H25" s="19" t="n">
        <f aca="false">IFERROR(G25/G50*100,0)</f>
        <v>2.01279658757665</v>
      </c>
    </row>
    <row r="26" customFormat="false" ht="15" hidden="false" customHeight="false" outlineLevel="0" collapsed="false">
      <c r="A26" s="3" t="n">
        <v>25</v>
      </c>
      <c r="B26" s="3" t="s">
        <v>95</v>
      </c>
      <c r="C26" s="6" t="s">
        <v>96</v>
      </c>
      <c r="D26" s="4" t="s">
        <v>6</v>
      </c>
      <c r="E26" s="18" t="n">
        <v>1510000</v>
      </c>
      <c r="F26" s="18"/>
      <c r="G26" s="18" t="n">
        <f aca="false">E26-IF(ISBLANK(F26),0,F26)</f>
        <v>1510000</v>
      </c>
      <c r="H26" s="19" t="n">
        <f aca="false">IFERROR(G26/G50*100,0)</f>
        <v>2.01279658757665</v>
      </c>
    </row>
    <row r="27" customFormat="false" ht="15" hidden="false" customHeight="false" outlineLevel="0" collapsed="false">
      <c r="A27" s="3" t="n">
        <v>26</v>
      </c>
      <c r="B27" s="3" t="s">
        <v>31</v>
      </c>
      <c r="C27" s="6" t="s">
        <v>32</v>
      </c>
      <c r="D27" s="4" t="s">
        <v>6</v>
      </c>
      <c r="E27" s="18" t="n">
        <v>1420000</v>
      </c>
      <c r="F27" s="18"/>
      <c r="G27" s="18" t="n">
        <f aca="false">E27-IF(ISBLANK(F27),0,F27)</f>
        <v>1420000</v>
      </c>
      <c r="H27" s="19" t="n">
        <f aca="false">IFERROR(G27/G50*100,0)</f>
        <v>1.89282857904559</v>
      </c>
    </row>
    <row r="28" customFormat="false" ht="15" hidden="false" customHeight="false" outlineLevel="0" collapsed="false">
      <c r="A28" s="3" t="n">
        <v>27</v>
      </c>
      <c r="B28" s="3" t="s">
        <v>190</v>
      </c>
      <c r="C28" s="5" t="s">
        <v>191</v>
      </c>
      <c r="D28" s="9" t="s">
        <v>189</v>
      </c>
      <c r="E28" s="18" t="n">
        <v>1370000</v>
      </c>
      <c r="F28" s="18"/>
      <c r="G28" s="18" t="n">
        <f aca="false">E28-IF(ISBLANK(F28),0,F28)</f>
        <v>1370000</v>
      </c>
      <c r="H28" s="19" t="n">
        <f aca="false">IFERROR(G28/G50*100,0)</f>
        <v>1.82617968541722</v>
      </c>
    </row>
    <row r="29" customFormat="false" ht="15" hidden="false" customHeight="false" outlineLevel="0" collapsed="false">
      <c r="A29" s="3" t="n">
        <v>28</v>
      </c>
      <c r="B29" s="3" t="s">
        <v>194</v>
      </c>
      <c r="C29" s="5" t="s">
        <v>195</v>
      </c>
      <c r="D29" s="9" t="s">
        <v>189</v>
      </c>
      <c r="E29" s="18" t="n">
        <v>1360000</v>
      </c>
      <c r="F29" s="18"/>
      <c r="G29" s="18" t="n">
        <f aca="false">E29-IF(ISBLANK(F29),0,F29)</f>
        <v>1360000</v>
      </c>
      <c r="H29" s="19" t="n">
        <f aca="false">IFERROR(G29/G50*100,0)</f>
        <v>1.81284990669155</v>
      </c>
    </row>
    <row r="30" customFormat="false" ht="15" hidden="false" customHeight="false" outlineLevel="0" collapsed="false">
      <c r="A30" s="3" t="n">
        <v>29</v>
      </c>
      <c r="B30" s="3" t="s">
        <v>198</v>
      </c>
      <c r="C30" s="5" t="s">
        <v>199</v>
      </c>
      <c r="D30" s="9" t="s">
        <v>189</v>
      </c>
      <c r="E30" s="18" t="n">
        <v>1340000</v>
      </c>
      <c r="F30" s="18"/>
      <c r="G30" s="18" t="n">
        <f aca="false">E30-IF(ISBLANK(F30),0,F30)</f>
        <v>1340000</v>
      </c>
      <c r="H30" s="19" t="n">
        <f aca="false">IFERROR(G30/G50*100,0)</f>
        <v>1.7861903492402</v>
      </c>
    </row>
    <row r="31" customFormat="false" ht="15" hidden="false" customHeight="false" outlineLevel="0" collapsed="false">
      <c r="A31" s="3" t="n">
        <v>30</v>
      </c>
      <c r="B31" s="3" t="s">
        <v>71</v>
      </c>
      <c r="C31" s="6" t="s">
        <v>72</v>
      </c>
      <c r="D31" s="4" t="s">
        <v>6</v>
      </c>
      <c r="E31" s="18" t="n">
        <v>1300000</v>
      </c>
      <c r="F31" s="18"/>
      <c r="G31" s="18" t="n">
        <f aca="false">E31-IF(ISBLANK(F31),0,F31)</f>
        <v>1300000</v>
      </c>
      <c r="H31" s="19" t="n">
        <f aca="false">IFERROR(G31/G50*100,0)</f>
        <v>1.73287123433751</v>
      </c>
    </row>
    <row r="32" customFormat="false" ht="15" hidden="false" customHeight="false" outlineLevel="0" collapsed="false">
      <c r="A32" s="3" t="n">
        <v>31</v>
      </c>
      <c r="B32" s="3" t="s">
        <v>131</v>
      </c>
      <c r="C32" s="6" t="s">
        <v>132</v>
      </c>
      <c r="D32" s="4" t="s">
        <v>6</v>
      </c>
      <c r="E32" s="18" t="n">
        <v>1280000</v>
      </c>
      <c r="F32" s="20" t="n">
        <v>190000</v>
      </c>
      <c r="G32" s="18" t="n">
        <f aca="false">E32-IF(ISBLANK(F32),0,F32)</f>
        <v>1090000</v>
      </c>
      <c r="H32" s="19" t="n">
        <f aca="false">IFERROR(G32/G50*100,0)</f>
        <v>1.45294588109837</v>
      </c>
    </row>
    <row r="33" customFormat="false" ht="15" hidden="false" customHeight="false" outlineLevel="0" collapsed="false">
      <c r="A33" s="3" t="n">
        <v>32</v>
      </c>
      <c r="B33" s="3" t="s">
        <v>111</v>
      </c>
      <c r="C33" s="6" t="s">
        <v>112</v>
      </c>
      <c r="D33" s="4" t="s">
        <v>6</v>
      </c>
      <c r="E33" s="18" t="n">
        <v>1270000</v>
      </c>
      <c r="F33" s="18"/>
      <c r="G33" s="18" t="n">
        <f aca="false">E33-IF(ISBLANK(F33),0,F33)</f>
        <v>1270000</v>
      </c>
      <c r="H33" s="19" t="n">
        <f aca="false">IFERROR(G33/G50*100,0)</f>
        <v>1.69288189816049</v>
      </c>
    </row>
    <row r="34" customFormat="false" ht="15" hidden="false" customHeight="false" outlineLevel="0" collapsed="false">
      <c r="A34" s="3" t="n">
        <v>33</v>
      </c>
      <c r="B34" s="3" t="s">
        <v>67</v>
      </c>
      <c r="C34" s="6" t="s">
        <v>68</v>
      </c>
      <c r="D34" s="4" t="s">
        <v>6</v>
      </c>
      <c r="E34" s="18" t="n">
        <v>1250000</v>
      </c>
      <c r="F34" s="18"/>
      <c r="G34" s="18" t="n">
        <f aca="false">E34-IF(ISBLANK(F34),0,F34)</f>
        <v>1250000</v>
      </c>
      <c r="H34" s="19" t="n">
        <f aca="false">IFERROR(G34/G50*100,0)</f>
        <v>1.66622234070914</v>
      </c>
    </row>
    <row r="35" customFormat="false" ht="15" hidden="false" customHeight="false" outlineLevel="0" collapsed="false">
      <c r="A35" s="3" t="n">
        <v>34</v>
      </c>
      <c r="B35" s="3" t="s">
        <v>107</v>
      </c>
      <c r="C35" s="6" t="s">
        <v>108</v>
      </c>
      <c r="D35" s="4" t="s">
        <v>6</v>
      </c>
      <c r="E35" s="18" t="n">
        <v>1140000</v>
      </c>
      <c r="F35" s="18"/>
      <c r="G35" s="18" t="n">
        <f aca="false">E35-IF(ISBLANK(F35),0,F35)</f>
        <v>1140000</v>
      </c>
      <c r="H35" s="19" t="n">
        <f aca="false">IFERROR(G35/G50*100,0)</f>
        <v>1.51959477472674</v>
      </c>
    </row>
    <row r="36" customFormat="false" ht="15" hidden="false" customHeight="false" outlineLevel="0" collapsed="false">
      <c r="A36" s="3" t="n">
        <v>35</v>
      </c>
      <c r="B36" s="3" t="s">
        <v>55</v>
      </c>
      <c r="C36" s="6" t="s">
        <v>56</v>
      </c>
      <c r="D36" s="4" t="s">
        <v>6</v>
      </c>
      <c r="E36" s="18" t="n">
        <v>1120000</v>
      </c>
      <c r="F36" s="18"/>
      <c r="G36" s="18" t="n">
        <f aca="false">E36-IF(ISBLANK(F36),0,F36)</f>
        <v>1120000</v>
      </c>
      <c r="H36" s="19" t="n">
        <f aca="false">IFERROR(G36/G50*100,0)</f>
        <v>1.49293521727539</v>
      </c>
    </row>
    <row r="37" customFormat="false" ht="15" hidden="false" customHeight="false" outlineLevel="0" collapsed="false">
      <c r="A37" s="3" t="n">
        <v>36</v>
      </c>
      <c r="B37" s="3" t="s">
        <v>83</v>
      </c>
      <c r="C37" s="6" t="s">
        <v>84</v>
      </c>
      <c r="D37" s="4" t="s">
        <v>6</v>
      </c>
      <c r="E37" s="18" t="n">
        <v>1060000</v>
      </c>
      <c r="F37" s="18"/>
      <c r="G37" s="18" t="n">
        <f aca="false">E37-IF(ISBLANK(F37),0,F37)</f>
        <v>1060000</v>
      </c>
      <c r="H37" s="19" t="n">
        <f aca="false">IFERROR(G37/G50*100,0)</f>
        <v>1.41295654492135</v>
      </c>
    </row>
    <row r="38" customFormat="false" ht="15" hidden="false" customHeight="false" outlineLevel="0" collapsed="false">
      <c r="A38" s="3" t="n">
        <v>37</v>
      </c>
      <c r="B38" s="3" t="s">
        <v>23</v>
      </c>
      <c r="C38" s="6" t="s">
        <v>24</v>
      </c>
      <c r="D38" s="4" t="s">
        <v>6</v>
      </c>
      <c r="E38" s="18" t="n">
        <v>950000</v>
      </c>
      <c r="F38" s="20" t="n">
        <v>140000</v>
      </c>
      <c r="G38" s="18" t="n">
        <f aca="false">E38-IF(ISBLANK(F38),0,F38)</f>
        <v>810000</v>
      </c>
      <c r="H38" s="19" t="n">
        <f aca="false">IFERROR(G38/G50*100,0)</f>
        <v>1.07971207677953</v>
      </c>
    </row>
    <row r="39" customFormat="false" ht="15" hidden="false" customHeight="false" outlineLevel="0" collapsed="false">
      <c r="A39" s="3" t="n">
        <v>38</v>
      </c>
      <c r="B39" s="3" t="s">
        <v>155</v>
      </c>
      <c r="C39" s="6" t="s">
        <v>156</v>
      </c>
      <c r="D39" s="4" t="s">
        <v>6</v>
      </c>
      <c r="E39" s="18" t="n">
        <v>950000</v>
      </c>
      <c r="F39" s="18"/>
      <c r="G39" s="18" t="n">
        <f aca="false">E39-IF(ISBLANK(F39),0,F39)</f>
        <v>950000</v>
      </c>
      <c r="H39" s="19" t="n">
        <f aca="false">IFERROR(G39/G50*100,0)</f>
        <v>1.26632897893895</v>
      </c>
    </row>
    <row r="40" customFormat="false" ht="15" hidden="false" customHeight="false" outlineLevel="0" collapsed="false">
      <c r="A40" s="3" t="n">
        <v>39</v>
      </c>
      <c r="B40" s="3" t="s">
        <v>115</v>
      </c>
      <c r="C40" s="6" t="s">
        <v>116</v>
      </c>
      <c r="D40" s="4" t="s">
        <v>6</v>
      </c>
      <c r="E40" s="18" t="n">
        <v>940000</v>
      </c>
      <c r="F40" s="18"/>
      <c r="G40" s="18" t="n">
        <f aca="false">E40-IF(ISBLANK(F40),0,F40)</f>
        <v>940000</v>
      </c>
      <c r="H40" s="19" t="n">
        <f aca="false">IFERROR(G40/G50*100,0)</f>
        <v>1.25299920021328</v>
      </c>
    </row>
    <row r="41" customFormat="false" ht="15" hidden="false" customHeight="false" outlineLevel="0" collapsed="false">
      <c r="A41" s="3" t="n">
        <v>40</v>
      </c>
      <c r="B41" s="3" t="s">
        <v>159</v>
      </c>
      <c r="C41" s="6" t="s">
        <v>160</v>
      </c>
      <c r="D41" s="4" t="s">
        <v>6</v>
      </c>
      <c r="E41" s="18" t="n">
        <v>860000</v>
      </c>
      <c r="F41" s="18"/>
      <c r="G41" s="18" t="n">
        <f aca="false">E41-IF(ISBLANK(F41),0,F41)</f>
        <v>860000</v>
      </c>
      <c r="H41" s="19" t="n">
        <f aca="false">IFERROR(G41/G50*100,0)</f>
        <v>1.14636097040789</v>
      </c>
    </row>
    <row r="42" customFormat="false" ht="15" hidden="false" customHeight="false" outlineLevel="0" collapsed="false">
      <c r="A42" s="3" t="n">
        <v>41</v>
      </c>
      <c r="B42" s="3" t="s">
        <v>119</v>
      </c>
      <c r="C42" s="6" t="s">
        <v>120</v>
      </c>
      <c r="D42" s="4" t="s">
        <v>6</v>
      </c>
      <c r="E42" s="18" t="n">
        <v>820000</v>
      </c>
      <c r="F42" s="20" t="n">
        <v>120000</v>
      </c>
      <c r="G42" s="18" t="n">
        <f aca="false">E42-IF(ISBLANK(F42),0,F42)</f>
        <v>700000</v>
      </c>
      <c r="H42" s="19" t="n">
        <f aca="false">IFERROR(G42/G50*100,0)</f>
        <v>0.933084510797121</v>
      </c>
    </row>
    <row r="43" customFormat="false" ht="15" hidden="false" customHeight="false" outlineLevel="0" collapsed="false">
      <c r="A43" s="3" t="n">
        <v>42</v>
      </c>
      <c r="B43" s="3" t="s">
        <v>168</v>
      </c>
      <c r="C43" s="6" t="s">
        <v>169</v>
      </c>
      <c r="D43" s="7" t="s">
        <v>167</v>
      </c>
      <c r="E43" s="18" t="n">
        <v>750000</v>
      </c>
      <c r="F43" s="18"/>
      <c r="G43" s="18" t="n">
        <f aca="false">E43-IF(ISBLANK(F43),0,F43)</f>
        <v>750000</v>
      </c>
      <c r="H43" s="19" t="n">
        <f aca="false">IFERROR(G43/G50*100,0)</f>
        <v>0.999733404425487</v>
      </c>
    </row>
    <row r="44" customFormat="false" ht="15" hidden="false" customHeight="false" outlineLevel="0" collapsed="false">
      <c r="A44" s="3" t="n">
        <v>43</v>
      </c>
      <c r="B44" s="3" t="s">
        <v>151</v>
      </c>
      <c r="C44" s="6" t="s">
        <v>152</v>
      </c>
      <c r="D44" s="4" t="s">
        <v>6</v>
      </c>
      <c r="E44" s="18" t="n">
        <v>740000</v>
      </c>
      <c r="F44" s="18"/>
      <c r="G44" s="18" t="n">
        <f aca="false">E44-IF(ISBLANK(F44),0,F44)</f>
        <v>740000</v>
      </c>
      <c r="H44" s="19" t="n">
        <f aca="false">IFERROR(G44/G50*100,0)</f>
        <v>0.986403625699813</v>
      </c>
    </row>
    <row r="45" customFormat="false" ht="15" hidden="false" customHeight="false" outlineLevel="0" collapsed="false">
      <c r="A45" s="3" t="n">
        <v>44</v>
      </c>
      <c r="B45" s="3" t="s">
        <v>172</v>
      </c>
      <c r="C45" s="6" t="s">
        <v>173</v>
      </c>
      <c r="D45" s="7" t="s">
        <v>167</v>
      </c>
      <c r="E45" s="18" t="n">
        <v>740000</v>
      </c>
      <c r="F45" s="18"/>
      <c r="G45" s="18" t="n">
        <f aca="false">E45-IF(ISBLANK(F45),0,F45)</f>
        <v>740000</v>
      </c>
      <c r="H45" s="19" t="n">
        <f aca="false">IFERROR(G45/G50*100,0)</f>
        <v>0.986403625699813</v>
      </c>
    </row>
    <row r="46" customFormat="false" ht="15" hidden="false" customHeight="false" outlineLevel="0" collapsed="false">
      <c r="A46" s="3" t="n">
        <v>45</v>
      </c>
      <c r="B46" s="3" t="s">
        <v>39</v>
      </c>
      <c r="C46" s="6" t="s">
        <v>40</v>
      </c>
      <c r="D46" s="4" t="s">
        <v>6</v>
      </c>
      <c r="E46" s="18" t="n">
        <v>560000</v>
      </c>
      <c r="F46" s="20" t="n">
        <v>80000</v>
      </c>
      <c r="G46" s="18" t="n">
        <f aca="false">E46-IF(ISBLANK(F46),0,F46)</f>
        <v>480000</v>
      </c>
      <c r="H46" s="19" t="n">
        <f aca="false">IFERROR(G46/G50*100,0)</f>
        <v>0.639829378832311</v>
      </c>
    </row>
    <row r="47" customFormat="false" ht="15" hidden="false" customHeight="false" outlineLevel="0" collapsed="false">
      <c r="A47" s="3" t="n">
        <v>46</v>
      </c>
      <c r="B47" s="3" t="s">
        <v>176</v>
      </c>
      <c r="C47" s="6" t="s">
        <v>177</v>
      </c>
      <c r="D47" s="7" t="s">
        <v>167</v>
      </c>
      <c r="E47" s="18" t="n">
        <v>540000</v>
      </c>
      <c r="F47" s="18"/>
      <c r="G47" s="18" t="n">
        <f aca="false">E47-IF(ISBLANK(F47),0,F47)</f>
        <v>540000</v>
      </c>
      <c r="H47" s="19" t="n">
        <f aca="false">IFERROR(G47/G50*100,0)</f>
        <v>0.71980805118635</v>
      </c>
    </row>
    <row r="48" customFormat="false" ht="15" hidden="false" customHeight="false" outlineLevel="0" collapsed="false">
      <c r="A48" s="3" t="n">
        <v>47</v>
      </c>
      <c r="B48" s="3" t="s">
        <v>47</v>
      </c>
      <c r="C48" s="6" t="s">
        <v>48</v>
      </c>
      <c r="D48" s="4" t="s">
        <v>6</v>
      </c>
      <c r="E48" s="18" t="n">
        <v>530000</v>
      </c>
      <c r="F48" s="18"/>
      <c r="G48" s="18" t="n">
        <f aca="false">E48-IF(ISBLANK(F48),0,F48)</f>
        <v>530000</v>
      </c>
      <c r="H48" s="19" t="n">
        <f aca="false">IFERROR(G48/G50*100,0)</f>
        <v>0.706478272460677</v>
      </c>
    </row>
    <row r="49" customFormat="false" ht="15" hidden="false" customHeight="false" outlineLevel="0" collapsed="false">
      <c r="A49" s="3" t="n">
        <v>48</v>
      </c>
      <c r="B49" s="3" t="s">
        <v>127</v>
      </c>
      <c r="C49" s="6" t="s">
        <v>128</v>
      </c>
      <c r="D49" s="4" t="s">
        <v>6</v>
      </c>
      <c r="E49" s="18" t="n">
        <v>510000</v>
      </c>
      <c r="F49" s="18"/>
      <c r="G49" s="18" t="n">
        <f aca="false">E49-IF(ISBLANK(F49),0,F49)</f>
        <v>510000</v>
      </c>
      <c r="H49" s="19" t="n">
        <f aca="false">IFERROR(G49/G50*100,0)</f>
        <v>0.679818715009331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77240000</v>
      </c>
      <c r="F50" s="17" t="n">
        <f aca="false">SUM(F2:F49)</f>
        <v>2220000</v>
      </c>
      <c r="G50" s="17" t="n">
        <f aca="false">SUM(G2:G49)</f>
        <v>75020000</v>
      </c>
      <c r="H50" s="2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8" min="8" style="0" width="12"/>
  </cols>
  <sheetData>
    <row r="1" customFormat="false" ht="17.15" hidden="false" customHeight="false" outlineLevel="0" collapsed="false">
      <c r="A1" s="2" t="s">
        <v>214</v>
      </c>
      <c r="B1" s="2" t="s">
        <v>2</v>
      </c>
      <c r="C1" s="2" t="s">
        <v>3</v>
      </c>
      <c r="D1" s="2" t="s">
        <v>1</v>
      </c>
      <c r="E1" s="2" t="s">
        <v>215</v>
      </c>
      <c r="F1" s="2" t="s">
        <v>216</v>
      </c>
      <c r="G1" s="2" t="s">
        <v>217</v>
      </c>
      <c r="H1" s="2" t="s">
        <v>218</v>
      </c>
    </row>
    <row r="2" customFormat="false" ht="15" hidden="false" customHeight="false" outlineLevel="0" collapsed="false">
      <c r="A2" s="3" t="n">
        <v>1</v>
      </c>
      <c r="B2" s="3" t="s">
        <v>107</v>
      </c>
      <c r="C2" s="6" t="s">
        <v>108</v>
      </c>
      <c r="D2" s="4" t="s">
        <v>6</v>
      </c>
      <c r="E2" s="18" t="n">
        <v>1650000</v>
      </c>
      <c r="F2" s="18"/>
      <c r="G2" s="18" t="n">
        <f aca="false">E2-IF(ISBLANK(F2),0,F2)</f>
        <v>1650000</v>
      </c>
      <c r="H2" s="19" t="n">
        <f aca="false">IFERROR(G2/G50*100,0)</f>
        <v>3.63836824696803</v>
      </c>
    </row>
    <row r="3" customFormat="false" ht="15" hidden="false" customHeight="false" outlineLevel="0" collapsed="false">
      <c r="A3" s="3" t="n">
        <v>2</v>
      </c>
      <c r="B3" s="3" t="s">
        <v>67</v>
      </c>
      <c r="C3" s="6" t="s">
        <v>68</v>
      </c>
      <c r="D3" s="4" t="s">
        <v>6</v>
      </c>
      <c r="E3" s="18" t="n">
        <v>1590000</v>
      </c>
      <c r="F3" s="18"/>
      <c r="G3" s="18" t="n">
        <f aca="false">E3-IF(ISBLANK(F3),0,F3)</f>
        <v>1590000</v>
      </c>
      <c r="H3" s="19" t="n">
        <f aca="false">IFERROR(G3/G50*100,0)</f>
        <v>3.50606394707828</v>
      </c>
    </row>
    <row r="4" customFormat="false" ht="15" hidden="false" customHeight="false" outlineLevel="0" collapsed="false">
      <c r="A4" s="3" t="n">
        <v>3</v>
      </c>
      <c r="B4" s="3" t="s">
        <v>111</v>
      </c>
      <c r="C4" s="6" t="s">
        <v>112</v>
      </c>
      <c r="D4" s="4" t="s">
        <v>6</v>
      </c>
      <c r="E4" s="18" t="n">
        <v>1580000</v>
      </c>
      <c r="F4" s="18"/>
      <c r="G4" s="18" t="n">
        <f aca="false">E4-IF(ISBLANK(F4),0,F4)</f>
        <v>1580000</v>
      </c>
      <c r="H4" s="19" t="n">
        <f aca="false">IFERROR(G4/G50*100,0)</f>
        <v>3.48401323042999</v>
      </c>
    </row>
    <row r="5" customFormat="false" ht="15" hidden="false" customHeight="false" outlineLevel="0" collapsed="false">
      <c r="A5" s="3" t="n">
        <v>4</v>
      </c>
      <c r="B5" s="3" t="s">
        <v>131</v>
      </c>
      <c r="C5" s="6" t="s">
        <v>132</v>
      </c>
      <c r="D5" s="4" t="s">
        <v>6</v>
      </c>
      <c r="E5" s="18" t="n">
        <v>1580000</v>
      </c>
      <c r="F5" s="18"/>
      <c r="G5" s="18" t="n">
        <f aca="false">E5-IF(ISBLANK(F5),0,F5)</f>
        <v>1580000</v>
      </c>
      <c r="H5" s="19" t="n">
        <f aca="false">IFERROR(G5/G50*100,0)</f>
        <v>3.48401323042999</v>
      </c>
    </row>
    <row r="6" customFormat="false" ht="15" hidden="false" customHeight="false" outlineLevel="0" collapsed="false">
      <c r="A6" s="3" t="n">
        <v>5</v>
      </c>
      <c r="B6" s="3" t="s">
        <v>71</v>
      </c>
      <c r="C6" s="6" t="s">
        <v>72</v>
      </c>
      <c r="D6" s="4" t="s">
        <v>6</v>
      </c>
      <c r="E6" s="18" t="n">
        <v>1560000</v>
      </c>
      <c r="F6" s="20" t="n">
        <v>230000</v>
      </c>
      <c r="G6" s="18" t="n">
        <f aca="false">E6-IF(ISBLANK(F6),0,F6)</f>
        <v>1330000</v>
      </c>
      <c r="H6" s="19" t="n">
        <f aca="false">IFERROR(G6/G50*100,0)</f>
        <v>2.93274531422271</v>
      </c>
    </row>
    <row r="7" customFormat="false" ht="15" hidden="false" customHeight="false" outlineLevel="0" collapsed="false">
      <c r="A7" s="3" t="n">
        <v>6</v>
      </c>
      <c r="B7" s="3" t="s">
        <v>198</v>
      </c>
      <c r="C7" s="5" t="s">
        <v>199</v>
      </c>
      <c r="D7" s="9" t="s">
        <v>189</v>
      </c>
      <c r="E7" s="18" t="n">
        <v>1540000</v>
      </c>
      <c r="F7" s="20" t="n">
        <v>230000</v>
      </c>
      <c r="G7" s="18" t="n">
        <f aca="false">E7-IF(ISBLANK(F7),0,F7)</f>
        <v>1310000</v>
      </c>
      <c r="H7" s="19" t="n">
        <f aca="false">IFERROR(G7/G50*100,0)</f>
        <v>2.88864388092613</v>
      </c>
    </row>
    <row r="8" customFormat="false" ht="15" hidden="false" customHeight="false" outlineLevel="0" collapsed="false">
      <c r="A8" s="3" t="n">
        <v>7</v>
      </c>
      <c r="B8" s="3" t="s">
        <v>194</v>
      </c>
      <c r="C8" s="5" t="s">
        <v>195</v>
      </c>
      <c r="D8" s="9" t="s">
        <v>189</v>
      </c>
      <c r="E8" s="18" t="n">
        <v>1530000</v>
      </c>
      <c r="F8" s="18"/>
      <c r="G8" s="18" t="n">
        <f aca="false">E8-IF(ISBLANK(F8),0,F8)</f>
        <v>1530000</v>
      </c>
      <c r="H8" s="19" t="n">
        <f aca="false">IFERROR(G8/G50*100,0)</f>
        <v>3.37375964718853</v>
      </c>
    </row>
    <row r="9" customFormat="false" ht="15" hidden="false" customHeight="false" outlineLevel="0" collapsed="false">
      <c r="A9" s="3" t="n">
        <v>8</v>
      </c>
      <c r="B9" s="3" t="s">
        <v>190</v>
      </c>
      <c r="C9" s="5" t="s">
        <v>191</v>
      </c>
      <c r="D9" s="9" t="s">
        <v>189</v>
      </c>
      <c r="E9" s="18" t="n">
        <v>1520000</v>
      </c>
      <c r="F9" s="18"/>
      <c r="G9" s="18" t="n">
        <f aca="false">E9-IF(ISBLANK(F9),0,F9)</f>
        <v>1520000</v>
      </c>
      <c r="H9" s="19" t="n">
        <f aca="false">IFERROR(G9/G50*100,0)</f>
        <v>3.35170893054024</v>
      </c>
    </row>
    <row r="10" customFormat="false" ht="15" hidden="false" customHeight="false" outlineLevel="0" collapsed="false">
      <c r="A10" s="3" t="n">
        <v>9</v>
      </c>
      <c r="B10" s="3" t="s">
        <v>31</v>
      </c>
      <c r="C10" s="6" t="s">
        <v>32</v>
      </c>
      <c r="D10" s="4" t="s">
        <v>6</v>
      </c>
      <c r="E10" s="18" t="n">
        <v>1490000</v>
      </c>
      <c r="F10" s="18"/>
      <c r="G10" s="18" t="n">
        <f aca="false">E10-IF(ISBLANK(F10),0,F10)</f>
        <v>1490000</v>
      </c>
      <c r="H10" s="19" t="n">
        <f aca="false">IFERROR(G10/G50*100,0)</f>
        <v>3.28555678059537</v>
      </c>
    </row>
    <row r="11" customFormat="false" ht="15" hidden="false" customHeight="false" outlineLevel="0" collapsed="false">
      <c r="A11" s="3" t="n">
        <v>10</v>
      </c>
      <c r="B11" s="3" t="s">
        <v>75</v>
      </c>
      <c r="C11" s="6" t="s">
        <v>76</v>
      </c>
      <c r="D11" s="4" t="s">
        <v>6</v>
      </c>
      <c r="E11" s="18" t="n">
        <v>1450000</v>
      </c>
      <c r="F11" s="18"/>
      <c r="G11" s="18" t="n">
        <f aca="false">E11-IF(ISBLANK(F11),0,F11)</f>
        <v>1450000</v>
      </c>
      <c r="H11" s="19" t="n">
        <f aca="false">IFERROR(G11/G50*100,0)</f>
        <v>3.19735391400221</v>
      </c>
    </row>
    <row r="12" customFormat="false" ht="15" hidden="false" customHeight="false" outlineLevel="0" collapsed="false">
      <c r="A12" s="3" t="n">
        <v>11</v>
      </c>
      <c r="B12" s="3" t="s">
        <v>95</v>
      </c>
      <c r="C12" s="6" t="s">
        <v>96</v>
      </c>
      <c r="D12" s="4" t="s">
        <v>6</v>
      </c>
      <c r="E12" s="18" t="n">
        <v>1450000</v>
      </c>
      <c r="F12" s="18"/>
      <c r="G12" s="18" t="n">
        <f aca="false">E12-IF(ISBLANK(F12),0,F12)</f>
        <v>1450000</v>
      </c>
      <c r="H12" s="19" t="n">
        <f aca="false">IFERROR(G12/G50*100,0)</f>
        <v>3.19735391400221</v>
      </c>
    </row>
    <row r="13" customFormat="false" ht="15" hidden="false" customHeight="false" outlineLevel="0" collapsed="false">
      <c r="A13" s="3" t="n">
        <v>12</v>
      </c>
      <c r="B13" s="3" t="s">
        <v>79</v>
      </c>
      <c r="C13" s="6" t="s">
        <v>80</v>
      </c>
      <c r="D13" s="4" t="s">
        <v>6</v>
      </c>
      <c r="E13" s="18" t="n">
        <v>1430000</v>
      </c>
      <c r="F13" s="18"/>
      <c r="G13" s="18" t="n">
        <f aca="false">E13-IF(ISBLANK(F13),0,F13)</f>
        <v>1430000</v>
      </c>
      <c r="H13" s="19" t="n">
        <f aca="false">IFERROR(G13/G50*100,0)</f>
        <v>3.15325248070562</v>
      </c>
    </row>
    <row r="14" customFormat="false" ht="15" hidden="false" customHeight="false" outlineLevel="0" collapsed="false">
      <c r="A14" s="3" t="n">
        <v>13</v>
      </c>
      <c r="B14" s="3" t="s">
        <v>123</v>
      </c>
      <c r="C14" s="6" t="s">
        <v>124</v>
      </c>
      <c r="D14" s="4" t="s">
        <v>6</v>
      </c>
      <c r="E14" s="18" t="n">
        <v>1430000</v>
      </c>
      <c r="F14" s="18"/>
      <c r="G14" s="18" t="n">
        <f aca="false">E14-IF(ISBLANK(F14),0,F14)</f>
        <v>1430000</v>
      </c>
      <c r="H14" s="19" t="n">
        <f aca="false">IFERROR(G14/G50*100,0)</f>
        <v>3.15325248070562</v>
      </c>
    </row>
    <row r="15" customFormat="false" ht="15" hidden="false" customHeight="false" outlineLevel="0" collapsed="false">
      <c r="A15" s="3" t="n">
        <v>14</v>
      </c>
      <c r="B15" s="3" t="s">
        <v>135</v>
      </c>
      <c r="C15" s="6" t="s">
        <v>136</v>
      </c>
      <c r="D15" s="4" t="s">
        <v>6</v>
      </c>
      <c r="E15" s="18" t="n">
        <v>1430000</v>
      </c>
      <c r="F15" s="18"/>
      <c r="G15" s="18" t="n">
        <f aca="false">E15-IF(ISBLANK(F15),0,F15)</f>
        <v>1430000</v>
      </c>
      <c r="H15" s="19" t="n">
        <f aca="false">IFERROR(G15/G50*100,0)</f>
        <v>3.15325248070562</v>
      </c>
    </row>
    <row r="16" customFormat="false" ht="15" hidden="false" customHeight="false" outlineLevel="0" collapsed="false">
      <c r="A16" s="3" t="n">
        <v>15</v>
      </c>
      <c r="B16" s="3" t="s">
        <v>181</v>
      </c>
      <c r="C16" s="6" t="s">
        <v>182</v>
      </c>
      <c r="D16" s="8" t="s">
        <v>180</v>
      </c>
      <c r="E16" s="18" t="n">
        <v>1420000</v>
      </c>
      <c r="F16" s="18"/>
      <c r="G16" s="18" t="n">
        <f aca="false">E16-IF(ISBLANK(F16),0,F16)</f>
        <v>1420000</v>
      </c>
      <c r="H16" s="19" t="n">
        <f aca="false">IFERROR(G16/G50*100,0)</f>
        <v>3.13120176405733</v>
      </c>
    </row>
    <row r="17" customFormat="false" ht="15" hidden="false" customHeight="false" outlineLevel="0" collapsed="false">
      <c r="A17" s="3" t="n">
        <v>16</v>
      </c>
      <c r="B17" s="3" t="s">
        <v>59</v>
      </c>
      <c r="C17" s="6" t="s">
        <v>60</v>
      </c>
      <c r="D17" s="4" t="s">
        <v>6</v>
      </c>
      <c r="E17" s="18" t="n">
        <v>1410000</v>
      </c>
      <c r="F17" s="18"/>
      <c r="G17" s="18" t="n">
        <f aca="false">E17-IF(ISBLANK(F17),0,F17)</f>
        <v>1410000</v>
      </c>
      <c r="H17" s="19" t="n">
        <f aca="false">IFERROR(G17/G50*100,0)</f>
        <v>3.10915104740904</v>
      </c>
    </row>
    <row r="18" customFormat="false" ht="15" hidden="false" customHeight="false" outlineLevel="0" collapsed="false">
      <c r="A18" s="3" t="n">
        <v>17</v>
      </c>
      <c r="B18" s="3" t="s">
        <v>163</v>
      </c>
      <c r="C18" s="6" t="s">
        <v>164</v>
      </c>
      <c r="D18" s="4" t="s">
        <v>6</v>
      </c>
      <c r="E18" s="18" t="n">
        <v>1300000</v>
      </c>
      <c r="F18" s="18"/>
      <c r="G18" s="18" t="n">
        <f aca="false">E18-IF(ISBLANK(F18),0,F18)</f>
        <v>1300000</v>
      </c>
      <c r="H18" s="19" t="n">
        <f aca="false">IFERROR(G18/G50*100,0)</f>
        <v>2.86659316427784</v>
      </c>
    </row>
    <row r="19" customFormat="false" ht="15" hidden="false" customHeight="false" outlineLevel="0" collapsed="false">
      <c r="A19" s="3" t="n">
        <v>18</v>
      </c>
      <c r="B19" s="3" t="s">
        <v>139</v>
      </c>
      <c r="C19" s="6" t="s">
        <v>140</v>
      </c>
      <c r="D19" s="4" t="s">
        <v>6</v>
      </c>
      <c r="E19" s="18" t="n">
        <v>1250000</v>
      </c>
      <c r="F19" s="18"/>
      <c r="G19" s="18" t="n">
        <f aca="false">E19-IF(ISBLANK(F19),0,F19)</f>
        <v>1250000</v>
      </c>
      <c r="H19" s="19" t="n">
        <f aca="false">IFERROR(G19/G50*100,0)</f>
        <v>2.75633958103638</v>
      </c>
    </row>
    <row r="20" customFormat="false" ht="15" hidden="false" customHeight="false" outlineLevel="0" collapsed="false">
      <c r="A20" s="3" t="n">
        <v>19</v>
      </c>
      <c r="B20" s="3" t="s">
        <v>103</v>
      </c>
      <c r="C20" s="6" t="s">
        <v>104</v>
      </c>
      <c r="D20" s="4" t="s">
        <v>6</v>
      </c>
      <c r="E20" s="18" t="n">
        <v>1140000</v>
      </c>
      <c r="F20" s="18"/>
      <c r="G20" s="18" t="n">
        <f aca="false">E20-IF(ISBLANK(F20),0,F20)</f>
        <v>1140000</v>
      </c>
      <c r="H20" s="19" t="n">
        <f aca="false">IFERROR(G20/G50*100,0)</f>
        <v>2.51378169790518</v>
      </c>
    </row>
    <row r="21" customFormat="false" ht="15" hidden="false" customHeight="false" outlineLevel="0" collapsed="false">
      <c r="A21" s="3" t="n">
        <v>20</v>
      </c>
      <c r="B21" s="3" t="s">
        <v>99</v>
      </c>
      <c r="C21" s="6" t="s">
        <v>100</v>
      </c>
      <c r="D21" s="4" t="s">
        <v>6</v>
      </c>
      <c r="E21" s="18" t="n">
        <v>1080000</v>
      </c>
      <c r="F21" s="18"/>
      <c r="G21" s="18" t="n">
        <f aca="false">E21-IF(ISBLANK(F21),0,F21)</f>
        <v>1080000</v>
      </c>
      <c r="H21" s="19" t="n">
        <f aca="false">IFERROR(G21/G50*100,0)</f>
        <v>2.38147739801544</v>
      </c>
    </row>
    <row r="22" customFormat="false" ht="15" hidden="false" customHeight="false" outlineLevel="0" collapsed="false">
      <c r="A22" s="3" t="n">
        <v>21</v>
      </c>
      <c r="B22" s="3" t="s">
        <v>27</v>
      </c>
      <c r="C22" s="6" t="s">
        <v>28</v>
      </c>
      <c r="D22" s="4" t="s">
        <v>6</v>
      </c>
      <c r="E22" s="18" t="n">
        <v>1040000</v>
      </c>
      <c r="F22" s="18"/>
      <c r="G22" s="18" t="n">
        <f aca="false">E22-IF(ISBLANK(F22),0,F22)</f>
        <v>1040000</v>
      </c>
      <c r="H22" s="19" t="n">
        <f aca="false">IFERROR(G22/G50*100,0)</f>
        <v>2.29327453142227</v>
      </c>
    </row>
    <row r="23" customFormat="false" ht="15" hidden="false" customHeight="false" outlineLevel="0" collapsed="false">
      <c r="A23" s="3" t="n">
        <v>22</v>
      </c>
      <c r="B23" s="3" t="s">
        <v>63</v>
      </c>
      <c r="C23" s="6" t="s">
        <v>64</v>
      </c>
      <c r="D23" s="4" t="s">
        <v>6</v>
      </c>
      <c r="E23" s="18" t="n">
        <v>1030000</v>
      </c>
      <c r="F23" s="18"/>
      <c r="G23" s="18" t="n">
        <f aca="false">E23-IF(ISBLANK(F23),0,F23)</f>
        <v>1030000</v>
      </c>
      <c r="H23" s="19" t="n">
        <f aca="false">IFERROR(G23/G50*100,0)</f>
        <v>2.27122381477398</v>
      </c>
    </row>
    <row r="24" customFormat="false" ht="15" hidden="false" customHeight="false" outlineLevel="0" collapsed="false">
      <c r="A24" s="3" t="n">
        <v>23</v>
      </c>
      <c r="B24" s="3" t="s">
        <v>35</v>
      </c>
      <c r="C24" s="6" t="s">
        <v>36</v>
      </c>
      <c r="D24" s="4" t="s">
        <v>6</v>
      </c>
      <c r="E24" s="18" t="n">
        <v>1010000</v>
      </c>
      <c r="F24" s="18"/>
      <c r="G24" s="18" t="n">
        <f aca="false">E24-IF(ISBLANK(F24),0,F24)</f>
        <v>1010000</v>
      </c>
      <c r="H24" s="19" t="n">
        <f aca="false">IFERROR(G24/G50*100,0)</f>
        <v>2.2271223814774</v>
      </c>
    </row>
    <row r="25" customFormat="false" ht="15" hidden="false" customHeight="false" outlineLevel="0" collapsed="false">
      <c r="A25" s="3" t="n">
        <v>24</v>
      </c>
      <c r="B25" s="3" t="s">
        <v>43</v>
      </c>
      <c r="C25" s="6" t="s">
        <v>44</v>
      </c>
      <c r="D25" s="4" t="s">
        <v>6</v>
      </c>
      <c r="E25" s="18" t="n">
        <v>990000</v>
      </c>
      <c r="F25" s="18"/>
      <c r="G25" s="18" t="n">
        <f aca="false">E25-IF(ISBLANK(F25),0,F25)</f>
        <v>990000</v>
      </c>
      <c r="H25" s="19" t="n">
        <f aca="false">IFERROR(G25/G50*100,0)</f>
        <v>2.18302094818082</v>
      </c>
    </row>
    <row r="26" customFormat="false" ht="15" hidden="false" customHeight="false" outlineLevel="0" collapsed="false">
      <c r="A26" s="3" t="n">
        <v>25</v>
      </c>
      <c r="B26" s="3" t="s">
        <v>15</v>
      </c>
      <c r="C26" s="6" t="s">
        <v>16</v>
      </c>
      <c r="D26" s="4" t="s">
        <v>6</v>
      </c>
      <c r="E26" s="18" t="n">
        <v>940000</v>
      </c>
      <c r="F26" s="18"/>
      <c r="G26" s="18" t="n">
        <f aca="false">E26-IF(ISBLANK(F26),0,F26)</f>
        <v>940000</v>
      </c>
      <c r="H26" s="19" t="n">
        <f aca="false">IFERROR(G26/G50*100,0)</f>
        <v>2.07276736493936</v>
      </c>
    </row>
    <row r="27" customFormat="false" ht="15" hidden="false" customHeight="false" outlineLevel="0" collapsed="false">
      <c r="A27" s="3" t="n">
        <v>26</v>
      </c>
      <c r="B27" s="3" t="s">
        <v>51</v>
      </c>
      <c r="C27" s="6" t="s">
        <v>52</v>
      </c>
      <c r="D27" s="4" t="s">
        <v>6</v>
      </c>
      <c r="E27" s="18" t="n">
        <v>930000</v>
      </c>
      <c r="F27" s="18"/>
      <c r="G27" s="18" t="n">
        <f aca="false">E27-IF(ISBLANK(F27),0,F27)</f>
        <v>930000</v>
      </c>
      <c r="H27" s="19" t="n">
        <f aca="false">IFERROR(G27/G50*100,0)</f>
        <v>2.05071664829107</v>
      </c>
    </row>
    <row r="28" customFormat="false" ht="15" hidden="false" customHeight="false" outlineLevel="0" collapsed="false">
      <c r="A28" s="3" t="n">
        <v>27</v>
      </c>
      <c r="B28" s="3" t="s">
        <v>91</v>
      </c>
      <c r="C28" s="6" t="s">
        <v>92</v>
      </c>
      <c r="D28" s="4" t="s">
        <v>6</v>
      </c>
      <c r="E28" s="18" t="n">
        <v>930000</v>
      </c>
      <c r="F28" s="18"/>
      <c r="G28" s="18" t="n">
        <f aca="false">E28-IF(ISBLANK(F28),0,F28)</f>
        <v>930000</v>
      </c>
      <c r="H28" s="19" t="n">
        <f aca="false">IFERROR(G28/G50*100,0)</f>
        <v>2.05071664829107</v>
      </c>
    </row>
    <row r="29" customFormat="false" ht="15" hidden="false" customHeight="false" outlineLevel="0" collapsed="false">
      <c r="A29" s="3" t="n">
        <v>28</v>
      </c>
      <c r="B29" s="3" t="s">
        <v>185</v>
      </c>
      <c r="C29" s="6" t="s">
        <v>186</v>
      </c>
      <c r="D29" s="8" t="s">
        <v>180</v>
      </c>
      <c r="E29" s="18" t="n">
        <v>930000</v>
      </c>
      <c r="F29" s="18"/>
      <c r="G29" s="18" t="n">
        <f aca="false">E29-IF(ISBLANK(F29),0,F29)</f>
        <v>930000</v>
      </c>
      <c r="H29" s="19" t="n">
        <f aca="false">IFERROR(G29/G50*100,0)</f>
        <v>2.05071664829107</v>
      </c>
    </row>
    <row r="30" customFormat="false" ht="15" hidden="false" customHeight="false" outlineLevel="0" collapsed="false">
      <c r="A30" s="3" t="n">
        <v>29</v>
      </c>
      <c r="B30" s="3" t="s">
        <v>19</v>
      </c>
      <c r="C30" s="6" t="s">
        <v>20</v>
      </c>
      <c r="D30" s="4" t="s">
        <v>6</v>
      </c>
      <c r="E30" s="18" t="n">
        <v>900000</v>
      </c>
      <c r="F30" s="18"/>
      <c r="G30" s="18" t="n">
        <f aca="false">E30-IF(ISBLANK(F30),0,F30)</f>
        <v>900000</v>
      </c>
      <c r="H30" s="19" t="n">
        <f aca="false">IFERROR(G30/G50*100,0)</f>
        <v>1.9845644983462</v>
      </c>
    </row>
    <row r="31" customFormat="false" ht="15" hidden="false" customHeight="false" outlineLevel="0" collapsed="false">
      <c r="A31" s="3" t="n">
        <v>30</v>
      </c>
      <c r="B31" s="3" t="s">
        <v>11</v>
      </c>
      <c r="C31" s="6" t="s">
        <v>12</v>
      </c>
      <c r="D31" s="4" t="s">
        <v>6</v>
      </c>
      <c r="E31" s="18" t="n">
        <v>810000</v>
      </c>
      <c r="F31" s="18"/>
      <c r="G31" s="18" t="n">
        <f aca="false">E31-IF(ISBLANK(F31),0,F31)</f>
        <v>810000</v>
      </c>
      <c r="H31" s="19" t="n">
        <f aca="false">IFERROR(G31/G50*100,0)</f>
        <v>1.78610804851158</v>
      </c>
    </row>
    <row r="32" customFormat="false" ht="15" hidden="false" customHeight="false" outlineLevel="0" collapsed="false">
      <c r="A32" s="3" t="n">
        <v>31</v>
      </c>
      <c r="B32" s="3" t="s">
        <v>7</v>
      </c>
      <c r="C32" s="5" t="s">
        <v>8</v>
      </c>
      <c r="D32" s="4" t="s">
        <v>6</v>
      </c>
      <c r="E32" s="18" t="n">
        <v>790000</v>
      </c>
      <c r="F32" s="18"/>
      <c r="G32" s="18" t="n">
        <f aca="false">E32-IF(ISBLANK(F32),0,F32)</f>
        <v>790000</v>
      </c>
      <c r="H32" s="19" t="n">
        <f aca="false">IFERROR(G32/G50*100,0)</f>
        <v>1.74200661521499</v>
      </c>
    </row>
    <row r="33" customFormat="false" ht="15" hidden="false" customHeight="false" outlineLevel="0" collapsed="false">
      <c r="A33" s="3" t="n">
        <v>32</v>
      </c>
      <c r="B33" s="3" t="s">
        <v>147</v>
      </c>
      <c r="C33" s="6" t="s">
        <v>148</v>
      </c>
      <c r="D33" s="4" t="s">
        <v>6</v>
      </c>
      <c r="E33" s="18" t="n">
        <v>720000</v>
      </c>
      <c r="F33" s="18"/>
      <c r="G33" s="18" t="n">
        <f aca="false">E33-IF(ISBLANK(F33),0,F33)</f>
        <v>720000</v>
      </c>
      <c r="H33" s="19" t="n">
        <f aca="false">IFERROR(G33/G50*100,0)</f>
        <v>1.58765159867696</v>
      </c>
    </row>
    <row r="34" customFormat="false" ht="15" hidden="false" customHeight="false" outlineLevel="0" collapsed="false">
      <c r="A34" s="3" t="n">
        <v>33</v>
      </c>
      <c r="B34" s="3" t="s">
        <v>87</v>
      </c>
      <c r="C34" s="6" t="s">
        <v>88</v>
      </c>
      <c r="D34" s="4" t="s">
        <v>6</v>
      </c>
      <c r="E34" s="18" t="n">
        <v>670000</v>
      </c>
      <c r="F34" s="18"/>
      <c r="G34" s="18" t="n">
        <f aca="false">E34-IF(ISBLANK(F34),0,F34)</f>
        <v>670000</v>
      </c>
      <c r="H34" s="19" t="n">
        <f aca="false">IFERROR(G34/G50*100,0)</f>
        <v>1.4773980154355</v>
      </c>
    </row>
    <row r="35" customFormat="false" ht="15" hidden="false" customHeight="false" outlineLevel="0" collapsed="false">
      <c r="A35" s="3" t="n">
        <v>34</v>
      </c>
      <c r="B35" s="3" t="s">
        <v>143</v>
      </c>
      <c r="C35" s="6" t="s">
        <v>144</v>
      </c>
      <c r="D35" s="4" t="s">
        <v>6</v>
      </c>
      <c r="E35" s="18" t="n">
        <v>630000</v>
      </c>
      <c r="F35" s="20" t="n">
        <v>90000</v>
      </c>
      <c r="G35" s="18" t="n">
        <f aca="false">E35-IF(ISBLANK(F35),0,F35)</f>
        <v>540000</v>
      </c>
      <c r="H35" s="19" t="n">
        <f aca="false">IFERROR(G35/G50*100,0)</f>
        <v>1.19073869900772</v>
      </c>
    </row>
    <row r="36" customFormat="false" ht="15" hidden="false" customHeight="false" outlineLevel="0" collapsed="false">
      <c r="A36" s="3" t="n">
        <v>35</v>
      </c>
      <c r="B36" s="3" t="s">
        <v>127</v>
      </c>
      <c r="C36" s="6" t="s">
        <v>128</v>
      </c>
      <c r="D36" s="4" t="s">
        <v>6</v>
      </c>
      <c r="E36" s="18" t="n">
        <v>490000</v>
      </c>
      <c r="F36" s="18"/>
      <c r="G36" s="18" t="n">
        <f aca="false">E36-IF(ISBLANK(F36),0,F36)</f>
        <v>490000</v>
      </c>
      <c r="H36" s="19" t="n">
        <f aca="false">IFERROR(G36/G50*100,0)</f>
        <v>1.08048511576626</v>
      </c>
    </row>
    <row r="37" customFormat="false" ht="15" hidden="false" customHeight="false" outlineLevel="0" collapsed="false">
      <c r="A37" s="3" t="n">
        <v>36</v>
      </c>
      <c r="B37" s="3" t="s">
        <v>47</v>
      </c>
      <c r="C37" s="6" t="s">
        <v>48</v>
      </c>
      <c r="D37" s="4" t="s">
        <v>6</v>
      </c>
      <c r="E37" s="18" t="n">
        <v>480000</v>
      </c>
      <c r="F37" s="18"/>
      <c r="G37" s="18" t="n">
        <f aca="false">E37-IF(ISBLANK(F37),0,F37)</f>
        <v>480000</v>
      </c>
      <c r="H37" s="19" t="n">
        <f aca="false">IFERROR(G37/G50*100,0)</f>
        <v>1.05843439911797</v>
      </c>
    </row>
    <row r="38" customFormat="false" ht="15" hidden="false" customHeight="false" outlineLevel="0" collapsed="false">
      <c r="A38" s="3" t="n">
        <v>37</v>
      </c>
      <c r="B38" s="3" t="s">
        <v>176</v>
      </c>
      <c r="C38" s="6" t="s">
        <v>177</v>
      </c>
      <c r="D38" s="7" t="s">
        <v>167</v>
      </c>
      <c r="E38" s="18" t="n">
        <v>480000</v>
      </c>
      <c r="F38" s="18"/>
      <c r="G38" s="18" t="n">
        <f aca="false">E38-IF(ISBLANK(F38),0,F38)</f>
        <v>480000</v>
      </c>
      <c r="H38" s="19" t="n">
        <f aca="false">IFERROR(G38/G50*100,0)</f>
        <v>1.05843439911797</v>
      </c>
    </row>
    <row r="39" customFormat="false" ht="15" hidden="false" customHeight="false" outlineLevel="0" collapsed="false">
      <c r="A39" s="3" t="n">
        <v>38</v>
      </c>
      <c r="B39" s="3" t="s">
        <v>39</v>
      </c>
      <c r="C39" s="6" t="s">
        <v>40</v>
      </c>
      <c r="D39" s="4" t="s">
        <v>6</v>
      </c>
      <c r="E39" s="18" t="n">
        <v>460000</v>
      </c>
      <c r="F39" s="18"/>
      <c r="G39" s="18" t="n">
        <f aca="false">E39-IF(ISBLANK(F39),0,F39)</f>
        <v>460000</v>
      </c>
      <c r="H39" s="19" t="n">
        <f aca="false">IFERROR(G39/G50*100,0)</f>
        <v>1.01433296582139</v>
      </c>
    </row>
    <row r="40" customFormat="false" ht="15" hidden="false" customHeight="false" outlineLevel="0" collapsed="false">
      <c r="A40" s="3" t="n">
        <v>39</v>
      </c>
      <c r="B40" s="3" t="s">
        <v>151</v>
      </c>
      <c r="C40" s="6" t="s">
        <v>152</v>
      </c>
      <c r="D40" s="4" t="s">
        <v>6</v>
      </c>
      <c r="E40" s="18" t="n">
        <v>370000</v>
      </c>
      <c r="F40" s="18"/>
      <c r="G40" s="18" t="n">
        <f aca="false">E40-IF(ISBLANK(F40),0,F40)</f>
        <v>370000</v>
      </c>
      <c r="H40" s="19" t="n">
        <f aca="false">IFERROR(G40/G50*100,0)</f>
        <v>0.81587651598677</v>
      </c>
    </row>
    <row r="41" customFormat="false" ht="15" hidden="false" customHeight="false" outlineLevel="0" collapsed="false">
      <c r="A41" s="3" t="n">
        <v>40</v>
      </c>
      <c r="B41" s="3" t="s">
        <v>172</v>
      </c>
      <c r="C41" s="6" t="s">
        <v>173</v>
      </c>
      <c r="D41" s="7" t="s">
        <v>167</v>
      </c>
      <c r="E41" s="18" t="n">
        <v>370000</v>
      </c>
      <c r="F41" s="18"/>
      <c r="G41" s="18" t="n">
        <f aca="false">E41-IF(ISBLANK(F41),0,F41)</f>
        <v>370000</v>
      </c>
      <c r="H41" s="19" t="n">
        <f aca="false">IFERROR(G41/G50*100,0)</f>
        <v>0.81587651598677</v>
      </c>
    </row>
    <row r="42" customFormat="false" ht="15" hidden="false" customHeight="false" outlineLevel="0" collapsed="false">
      <c r="A42" s="3" t="n">
        <v>41</v>
      </c>
      <c r="B42" s="3" t="s">
        <v>168</v>
      </c>
      <c r="C42" s="6" t="s">
        <v>169</v>
      </c>
      <c r="D42" s="7" t="s">
        <v>167</v>
      </c>
      <c r="E42" s="18" t="n">
        <v>360000</v>
      </c>
      <c r="F42" s="18"/>
      <c r="G42" s="18" t="n">
        <f aca="false">E42-IF(ISBLANK(F42),0,F42)</f>
        <v>360000</v>
      </c>
      <c r="H42" s="19" t="n">
        <f aca="false">IFERROR(G42/G50*100,0)</f>
        <v>0.793825799338479</v>
      </c>
    </row>
    <row r="43" customFormat="false" ht="15" hidden="false" customHeight="false" outlineLevel="0" collapsed="false">
      <c r="A43" s="3" t="n">
        <v>42</v>
      </c>
      <c r="B43" s="3" t="s">
        <v>119</v>
      </c>
      <c r="C43" s="6" t="s">
        <v>120</v>
      </c>
      <c r="D43" s="4" t="s">
        <v>6</v>
      </c>
      <c r="E43" s="18" t="n">
        <v>320000</v>
      </c>
      <c r="F43" s="18"/>
      <c r="G43" s="18" t="n">
        <f aca="false">E43-IF(ISBLANK(F43),0,F43)</f>
        <v>320000</v>
      </c>
      <c r="H43" s="19" t="n">
        <f aca="false">IFERROR(G43/G50*100,0)</f>
        <v>0.705622932745314</v>
      </c>
    </row>
    <row r="44" customFormat="false" ht="15" hidden="false" customHeight="false" outlineLevel="0" collapsed="false">
      <c r="A44" s="3" t="n">
        <v>43</v>
      </c>
      <c r="B44" s="3" t="s">
        <v>159</v>
      </c>
      <c r="C44" s="6" t="s">
        <v>160</v>
      </c>
      <c r="D44" s="4" t="s">
        <v>6</v>
      </c>
      <c r="E44" s="18" t="n">
        <v>300000</v>
      </c>
      <c r="F44" s="18"/>
      <c r="G44" s="18" t="n">
        <f aca="false">E44-IF(ISBLANK(F44),0,F44)</f>
        <v>300000</v>
      </c>
      <c r="H44" s="19" t="n">
        <f aca="false">IFERROR(G44/G50*100,0)</f>
        <v>0.661521499448732</v>
      </c>
    </row>
    <row r="45" customFormat="false" ht="15" hidden="false" customHeight="false" outlineLevel="0" collapsed="false">
      <c r="A45" s="3" t="n">
        <v>44</v>
      </c>
      <c r="B45" s="3" t="s">
        <v>115</v>
      </c>
      <c r="C45" s="6" t="s">
        <v>116</v>
      </c>
      <c r="D45" s="4" t="s">
        <v>6</v>
      </c>
      <c r="E45" s="18" t="n">
        <v>260000</v>
      </c>
      <c r="F45" s="18"/>
      <c r="G45" s="18" t="n">
        <f aca="false">E45-IF(ISBLANK(F45),0,F45)</f>
        <v>260000</v>
      </c>
      <c r="H45" s="19" t="n">
        <f aca="false">IFERROR(G45/G50*100,0)</f>
        <v>0.573318632855568</v>
      </c>
    </row>
    <row r="46" customFormat="false" ht="15" hidden="false" customHeight="false" outlineLevel="0" collapsed="false">
      <c r="A46" s="3" t="n">
        <v>45</v>
      </c>
      <c r="B46" s="3" t="s">
        <v>23</v>
      </c>
      <c r="C46" s="6" t="s">
        <v>24</v>
      </c>
      <c r="D46" s="4" t="s">
        <v>6</v>
      </c>
      <c r="E46" s="18" t="n">
        <v>250000</v>
      </c>
      <c r="F46" s="18"/>
      <c r="G46" s="18" t="n">
        <f aca="false">E46-IF(ISBLANK(F46),0,F46)</f>
        <v>250000</v>
      </c>
      <c r="H46" s="19" t="n">
        <f aca="false">IFERROR(G46/G50*100,0)</f>
        <v>0.551267916207277</v>
      </c>
    </row>
    <row r="47" customFormat="false" ht="15" hidden="false" customHeight="false" outlineLevel="0" collapsed="false">
      <c r="A47" s="3" t="n">
        <v>46</v>
      </c>
      <c r="B47" s="3" t="s">
        <v>155</v>
      </c>
      <c r="C47" s="6" t="s">
        <v>156</v>
      </c>
      <c r="D47" s="4" t="s">
        <v>6</v>
      </c>
      <c r="E47" s="18" t="n">
        <v>250000</v>
      </c>
      <c r="F47" s="18"/>
      <c r="G47" s="18" t="n">
        <f aca="false">E47-IF(ISBLANK(F47),0,F47)</f>
        <v>250000</v>
      </c>
      <c r="H47" s="19" t="n">
        <f aca="false">IFERROR(G47/G50*100,0)</f>
        <v>0.551267916207277</v>
      </c>
    </row>
    <row r="48" customFormat="false" ht="15" hidden="false" customHeight="false" outlineLevel="0" collapsed="false">
      <c r="A48" s="3" t="n">
        <v>47</v>
      </c>
      <c r="B48" s="3" t="s">
        <v>83</v>
      </c>
      <c r="C48" s="6" t="s">
        <v>84</v>
      </c>
      <c r="D48" s="4" t="s">
        <v>6</v>
      </c>
      <c r="E48" s="18" t="n">
        <v>200000</v>
      </c>
      <c r="F48" s="18"/>
      <c r="G48" s="18" t="n">
        <f aca="false">E48-IF(ISBLANK(F48),0,F48)</f>
        <v>200000</v>
      </c>
      <c r="H48" s="19" t="n">
        <f aca="false">IFERROR(G48/G50*100,0)</f>
        <v>0.441014332965821</v>
      </c>
    </row>
    <row r="49" customFormat="false" ht="15" hidden="false" customHeight="false" outlineLevel="0" collapsed="false">
      <c r="A49" s="3" t="n">
        <v>48</v>
      </c>
      <c r="B49" s="3" t="s">
        <v>55</v>
      </c>
      <c r="C49" s="6" t="s">
        <v>56</v>
      </c>
      <c r="D49" s="4" t="s">
        <v>6</v>
      </c>
      <c r="E49" s="18" t="n">
        <v>160000</v>
      </c>
      <c r="F49" s="18"/>
      <c r="G49" s="18" t="n">
        <f aca="false">E49-IF(ISBLANK(F49),0,F49)</f>
        <v>160000</v>
      </c>
      <c r="H49" s="19" t="n">
        <f aca="false">IFERROR(G49/G50*100,0)</f>
        <v>0.352811466372657</v>
      </c>
    </row>
    <row r="50" customFormat="false" ht="15" hidden="false" customHeight="false" outlineLevel="0" collapsed="false">
      <c r="A50" s="15"/>
      <c r="B50" s="15"/>
      <c r="C50" s="16" t="s">
        <v>213</v>
      </c>
      <c r="D50" s="15"/>
      <c r="E50" s="17" t="n">
        <f aca="false">SUM(E2:E49)</f>
        <v>45900000</v>
      </c>
      <c r="F50" s="17" t="n">
        <f aca="false">SUM(F2:F49)</f>
        <v>550000</v>
      </c>
      <c r="G50" s="17" t="n">
        <f aca="false">SUM(G2:G49)</f>
        <v>45350000</v>
      </c>
      <c r="H50" s="21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2026-04-24T07:04:50Z</dcterms:created>
  <dc:creator>openpyxl</dc:creator>
  <dc:description/>
  <dc:language>en-US</dc:language>
  <cp:lastModifiedBy/>
  <dcterms:modified xsi:type="dcterms:W3CDTF">2026-04-24T07:04:51Z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