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매입처마스터" sheetId="1" r:id="rId1"/>
    <sheet name="점포별매출매트릭스" sheetId="2" r:id="rId2"/>
    <sheet name="광화문점" sheetId="3" r:id="rId3"/>
    <sheet name="강남점" sheetId="4" r:id="rId4"/>
    <sheet name="잠실점" sheetId="5" r:id="rId5"/>
    <sheet name="부산점" sheetId="6" r:id="rId6"/>
    <sheet name="창원점" sheetId="7" r:id="rId7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64" formatCode="General"/>
    <numFmt numFmtId="165" formatCode="#,##0;[RED]\(#,##0\);\-"/>
    <numFmt numFmtId="166" formatCode="#,##0"/>
    <numFmt numFmtId="167" formatCode="0.00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151"/>
  <sheetViews>
    <sheetView workbookViewId="0" rightToLeft="0"/>
  </sheetViews>
  <cols>
    <col min="1" max="1" width="5.83203125" customWidth="1"/>
    <col min="2" max="2" width="8.83203125" customWidth="1"/>
    <col min="3" max="3" width="11.83203125" customWidth="1"/>
    <col min="4" max="4" width="25.83203125" customWidth="1"/>
    <col min="5" max="5" width="12.83203125" customWidth="1"/>
    <col min="6" max="6" width="30.83203125" customWidth="1"/>
    <col min="7" max="7" width="10.83203125" customWidth="1"/>
  </cols>
  <sheetData>
    <row r="1">
      <c r="A1" s="1" t="str">
        <v>No</v>
      </c>
      <c r="B1" s="1" t="str">
        <v>구분</v>
      </c>
      <c r="C1" s="1" t="str">
        <v>매입처코드</v>
      </c>
      <c r="D1" s="1" t="str">
        <v>매입처명</v>
      </c>
      <c r="E1" s="1" t="str">
        <v>매입처품목코드</v>
      </c>
      <c r="F1" s="1" t="str">
        <v>매입처품목코드명</v>
      </c>
      <c r="G1" s="1" t="str">
        <v>기본값여부</v>
      </c>
    </row>
    <row r="2">
      <c r="A2" s="1">
        <v>1</v>
      </c>
      <c r="B2" s="1" t="str">
        <v>문구</v>
      </c>
      <c r="C2" s="1" t="str">
        <v>0803741</v>
      </c>
      <c r="D2" s="1" t="str">
        <v>BST</v>
      </c>
      <c r="E2" s="1" t="str">
        <v>IC0374100</v>
      </c>
      <c r="F2" s="1" t="str">
        <v>BST 일반</v>
      </c>
      <c r="G2" s="1" t="str">
        <v>Y</v>
      </c>
    </row>
    <row r="3">
      <c r="A3" s="1">
        <v>1</v>
      </c>
      <c r="B3" s="1" t="str">
        <v>문구</v>
      </c>
      <c r="C3" s="1" t="str">
        <v>0803741</v>
      </c>
      <c r="D3" s="1" t="str">
        <v>BST</v>
      </c>
      <c r="E3" s="1" t="str">
        <v>IC0374101</v>
      </c>
      <c r="F3" s="1" t="str">
        <v>BST 베이직</v>
      </c>
      <c r="G3" s="1" t="str">
        <v>N</v>
      </c>
    </row>
    <row r="4">
      <c r="A4" s="1">
        <v>1</v>
      </c>
      <c r="B4" s="1" t="str">
        <v>문구</v>
      </c>
      <c r="C4" s="1" t="str">
        <v>0803741</v>
      </c>
      <c r="D4" s="1" t="str">
        <v>BST</v>
      </c>
      <c r="E4" s="1" t="str">
        <v>IC0374102</v>
      </c>
      <c r="F4" s="1" t="str">
        <v>BST PB</v>
      </c>
      <c r="G4" s="1" t="str">
        <v>N</v>
      </c>
    </row>
    <row r="5">
      <c r="A5" s="1">
        <v>1</v>
      </c>
      <c r="B5" s="1" t="str">
        <v>문구</v>
      </c>
      <c r="C5" s="1" t="str">
        <v>0803741</v>
      </c>
      <c r="D5" s="1" t="str">
        <v>BST</v>
      </c>
      <c r="E5" s="1" t="str">
        <v>IC0374103</v>
      </c>
      <c r="F5" s="1" t="str">
        <v>BST 리미티드</v>
      </c>
      <c r="G5" s="1" t="str">
        <v>N</v>
      </c>
    </row>
    <row r="6">
      <c r="A6" s="1">
        <v>1</v>
      </c>
      <c r="B6" s="1" t="str">
        <v>문구</v>
      </c>
      <c r="C6" s="1" t="str">
        <v>0803741</v>
      </c>
      <c r="D6" s="1" t="str">
        <v>BST</v>
      </c>
      <c r="E6" s="1" t="str">
        <v>IC0374104</v>
      </c>
      <c r="F6" s="1" t="str">
        <v>BST 기획전</v>
      </c>
      <c r="G6" s="1" t="str">
        <v>N</v>
      </c>
    </row>
    <row r="7">
      <c r="A7" s="1">
        <v>2</v>
      </c>
      <c r="B7" s="1" t="str">
        <v>문구</v>
      </c>
      <c r="C7" s="1" t="str">
        <v>0803791</v>
      </c>
      <c r="D7" s="1" t="str">
        <v>공장</v>
      </c>
      <c r="E7" s="1" t="str">
        <v>IC0379100</v>
      </c>
      <c r="F7" s="1" t="str">
        <v>공장 일반</v>
      </c>
      <c r="G7" s="1" t="str">
        <v>Y</v>
      </c>
    </row>
    <row r="8">
      <c r="A8" s="1">
        <v>2</v>
      </c>
      <c r="B8" s="1" t="str">
        <v>문구</v>
      </c>
      <c r="C8" s="1" t="str">
        <v>0803791</v>
      </c>
      <c r="D8" s="1" t="str">
        <v>공장</v>
      </c>
      <c r="E8" s="1" t="str">
        <v>IC0379101</v>
      </c>
      <c r="F8" s="1" t="str">
        <v>공장 대표상품</v>
      </c>
      <c r="G8" s="1" t="str">
        <v>N</v>
      </c>
    </row>
    <row r="9">
      <c r="A9" s="1">
        <v>2</v>
      </c>
      <c r="B9" s="1" t="str">
        <v>문구</v>
      </c>
      <c r="C9" s="1" t="str">
        <v>0803791</v>
      </c>
      <c r="D9" s="1" t="str">
        <v>공장</v>
      </c>
      <c r="E9" s="1" t="str">
        <v>IC0379102</v>
      </c>
      <c r="F9" s="1" t="str">
        <v>공장 특가</v>
      </c>
      <c r="G9" s="1" t="str">
        <v>N</v>
      </c>
    </row>
    <row r="10">
      <c r="A10" s="1">
        <v>2</v>
      </c>
      <c r="B10" s="1" t="str">
        <v>문구</v>
      </c>
      <c r="C10" s="1" t="str">
        <v>0803791</v>
      </c>
      <c r="D10" s="1" t="str">
        <v>공장</v>
      </c>
      <c r="E10" s="1" t="str">
        <v>IC0379103</v>
      </c>
      <c r="F10" s="1" t="str">
        <v>공장 문구행사</v>
      </c>
      <c r="G10" s="1" t="str">
        <v>N</v>
      </c>
    </row>
    <row r="11">
      <c r="A11" s="1">
        <v>2</v>
      </c>
      <c r="B11" s="1" t="str">
        <v>문구</v>
      </c>
      <c r="C11" s="1" t="str">
        <v>0803791</v>
      </c>
      <c r="D11" s="1" t="str">
        <v>공장</v>
      </c>
      <c r="E11" s="1" t="str">
        <v>IC0379104</v>
      </c>
      <c r="F11" s="1" t="str">
        <v>공장 정품</v>
      </c>
      <c r="G11" s="1" t="str">
        <v>N</v>
      </c>
    </row>
    <row r="12">
      <c r="A12" s="1">
        <v>3</v>
      </c>
      <c r="B12" s="1" t="str">
        <v>문구</v>
      </c>
      <c r="C12" s="1" t="str">
        <v>0816555</v>
      </c>
      <c r="D12" s="1" t="str">
        <v>냐냐온 스튜디오</v>
      </c>
      <c r="E12" s="1" t="str">
        <v>IC0655500</v>
      </c>
      <c r="F12" s="1" t="str">
        <v>냐냐온 스튜디오 일반</v>
      </c>
      <c r="G12" s="1" t="str">
        <v>Y</v>
      </c>
    </row>
    <row r="13">
      <c r="A13" s="1">
        <v>3</v>
      </c>
      <c r="B13" s="1" t="str">
        <v>문구</v>
      </c>
      <c r="C13" s="1" t="str">
        <v>0816555</v>
      </c>
      <c r="D13" s="1" t="str">
        <v>냐냐온 스튜디오</v>
      </c>
      <c r="E13" s="1" t="str">
        <v>IC0655501</v>
      </c>
      <c r="F13" s="1" t="str">
        <v>냐냐온 스튜디오 문구행사</v>
      </c>
      <c r="G13" s="1" t="str">
        <v>N</v>
      </c>
    </row>
    <row r="14">
      <c r="A14" s="1">
        <v>4</v>
      </c>
      <c r="B14" s="1" t="str">
        <v>문구</v>
      </c>
      <c r="C14" s="1" t="str">
        <v>0817528</v>
      </c>
      <c r="D14" s="1" t="str">
        <v>누크코퍼레이션</v>
      </c>
      <c r="E14" s="1" t="str">
        <v>IC0752800</v>
      </c>
      <c r="F14" s="1" t="str">
        <v>누크코퍼레이션 일반</v>
      </c>
      <c r="G14" s="1" t="str">
        <v>Y</v>
      </c>
    </row>
    <row r="15">
      <c r="A15" s="1">
        <v>4</v>
      </c>
      <c r="B15" s="1" t="str">
        <v>문구</v>
      </c>
      <c r="C15" s="1" t="str">
        <v>0817528</v>
      </c>
      <c r="D15" s="1" t="str">
        <v>누크코퍼레이션</v>
      </c>
      <c r="E15" s="1" t="str">
        <v>IC0752801</v>
      </c>
      <c r="F15" s="1" t="str">
        <v>누크코퍼레이션 대표상품</v>
      </c>
      <c r="G15" s="1" t="str">
        <v>N</v>
      </c>
    </row>
    <row r="16">
      <c r="A16" s="1">
        <v>4</v>
      </c>
      <c r="B16" s="1" t="str">
        <v>문구</v>
      </c>
      <c r="C16" s="1" t="str">
        <v>0817528</v>
      </c>
      <c r="D16" s="1" t="str">
        <v>누크코퍼레이션</v>
      </c>
      <c r="E16" s="1" t="str">
        <v>IC0752802</v>
      </c>
      <c r="F16" s="1" t="str">
        <v>누크코퍼레이션 특가</v>
      </c>
      <c r="G16" s="1" t="str">
        <v>N</v>
      </c>
    </row>
    <row r="17">
      <c r="A17" s="1">
        <v>5</v>
      </c>
      <c r="B17" s="1" t="str">
        <v>문구</v>
      </c>
      <c r="C17" s="1" t="str">
        <v>0807485</v>
      </c>
      <c r="D17" s="1" t="str">
        <v>대시앤도트</v>
      </c>
      <c r="E17" s="1" t="str">
        <v>IC0748500</v>
      </c>
      <c r="F17" s="1" t="str">
        <v>대시앤도트 일반</v>
      </c>
      <c r="G17" s="1" t="str">
        <v>Y</v>
      </c>
    </row>
    <row r="18">
      <c r="A18" s="1">
        <v>5</v>
      </c>
      <c r="B18" s="1" t="str">
        <v>문구</v>
      </c>
      <c r="C18" s="1" t="str">
        <v>0807485</v>
      </c>
      <c r="D18" s="1" t="str">
        <v>대시앤도트</v>
      </c>
      <c r="E18" s="1" t="str">
        <v>IC0748501</v>
      </c>
      <c r="F18" s="1" t="str">
        <v>대시앤도트 기획전</v>
      </c>
      <c r="G18" s="1" t="str">
        <v>N</v>
      </c>
    </row>
    <row r="19">
      <c r="A19" s="1">
        <v>5</v>
      </c>
      <c r="B19" s="1" t="str">
        <v>문구</v>
      </c>
      <c r="C19" s="1" t="str">
        <v>0807485</v>
      </c>
      <c r="D19" s="1" t="str">
        <v>대시앤도트</v>
      </c>
      <c r="E19" s="1" t="str">
        <v>IC0748502</v>
      </c>
      <c r="F19" s="1" t="str">
        <v>대시앤도트 증정</v>
      </c>
      <c r="G19" s="1" t="str">
        <v>N</v>
      </c>
    </row>
    <row r="20">
      <c r="A20" s="1">
        <v>5</v>
      </c>
      <c r="B20" s="1" t="str">
        <v>문구</v>
      </c>
      <c r="C20" s="1" t="str">
        <v>0807485</v>
      </c>
      <c r="D20" s="1" t="str">
        <v>대시앤도트</v>
      </c>
      <c r="E20" s="1" t="str">
        <v>IC0748503</v>
      </c>
      <c r="F20" s="1" t="str">
        <v>대시앤도트 대표상품</v>
      </c>
      <c r="G20" s="1" t="str">
        <v>N</v>
      </c>
    </row>
    <row r="21">
      <c r="A21" s="1">
        <v>6</v>
      </c>
      <c r="B21" s="1" t="str">
        <v>문구</v>
      </c>
      <c r="C21" s="1" t="str">
        <v>0817625</v>
      </c>
      <c r="D21" s="1" t="str">
        <v>대인커머스</v>
      </c>
      <c r="E21" s="1" t="str">
        <v>IC0762500</v>
      </c>
      <c r="F21" s="1" t="str">
        <v>대인커머스 일반</v>
      </c>
      <c r="G21" s="1" t="str">
        <v>Y</v>
      </c>
    </row>
    <row r="22">
      <c r="A22" s="1">
        <v>7</v>
      </c>
      <c r="B22" s="1" t="str">
        <v>문구</v>
      </c>
      <c r="C22" s="1" t="str">
        <v>0816903</v>
      </c>
      <c r="D22" s="1" t="str">
        <v>더시호</v>
      </c>
      <c r="E22" s="1" t="str">
        <v>IC0690300</v>
      </c>
      <c r="F22" s="1" t="str">
        <v>더시호 일반</v>
      </c>
      <c r="G22" s="1" t="str">
        <v>Y</v>
      </c>
    </row>
    <row r="23">
      <c r="A23" s="1">
        <v>7</v>
      </c>
      <c r="B23" s="1" t="str">
        <v>문구</v>
      </c>
      <c r="C23" s="1" t="str">
        <v>0816903</v>
      </c>
      <c r="D23" s="1" t="str">
        <v>더시호</v>
      </c>
      <c r="E23" s="1" t="str">
        <v>IC0690301</v>
      </c>
      <c r="F23" s="1" t="str">
        <v>더시호 증정</v>
      </c>
      <c r="G23" s="1" t="str">
        <v>N</v>
      </c>
    </row>
    <row r="24">
      <c r="A24" s="1">
        <v>7</v>
      </c>
      <c r="B24" s="1" t="str">
        <v>문구</v>
      </c>
      <c r="C24" s="1" t="str">
        <v>0816903</v>
      </c>
      <c r="D24" s="1" t="str">
        <v>더시호</v>
      </c>
      <c r="E24" s="1" t="str">
        <v>IC0690302</v>
      </c>
      <c r="F24" s="1" t="str">
        <v>더시호 대표상품</v>
      </c>
      <c r="G24" s="1" t="str">
        <v>N</v>
      </c>
    </row>
    <row r="25">
      <c r="A25" s="1">
        <v>7</v>
      </c>
      <c r="B25" s="1" t="str">
        <v>문구</v>
      </c>
      <c r="C25" s="1" t="str">
        <v>0816903</v>
      </c>
      <c r="D25" s="1" t="str">
        <v>더시호</v>
      </c>
      <c r="E25" s="1" t="str">
        <v>IC0690303</v>
      </c>
      <c r="F25" s="1" t="str">
        <v>더시호 특가</v>
      </c>
      <c r="G25" s="1" t="str">
        <v>N</v>
      </c>
    </row>
    <row r="26">
      <c r="A26" s="1">
        <v>8</v>
      </c>
      <c r="B26" s="1" t="str">
        <v>문구</v>
      </c>
      <c r="C26" s="1" t="str">
        <v>0818620</v>
      </c>
      <c r="D26" s="1" t="str">
        <v>더토브</v>
      </c>
      <c r="E26" s="1" t="str">
        <v>IC0862000</v>
      </c>
      <c r="F26" s="1" t="str">
        <v>더토브 일반</v>
      </c>
      <c r="G26" s="1" t="str">
        <v>Y</v>
      </c>
    </row>
    <row r="27">
      <c r="A27" s="1">
        <v>8</v>
      </c>
      <c r="B27" s="1" t="str">
        <v>문구</v>
      </c>
      <c r="C27" s="1" t="str">
        <v>0818620</v>
      </c>
      <c r="D27" s="1" t="str">
        <v>더토브</v>
      </c>
      <c r="E27" s="1" t="str">
        <v>IC0862001</v>
      </c>
      <c r="F27" s="1" t="str">
        <v>더토브 대표상품</v>
      </c>
      <c r="G27" s="1" t="str">
        <v>N</v>
      </c>
    </row>
    <row r="28">
      <c r="A28" s="1">
        <v>9</v>
      </c>
      <c r="B28" s="1" t="str">
        <v>문구</v>
      </c>
      <c r="C28" s="1" t="str">
        <v>0817225</v>
      </c>
      <c r="D28" s="1" t="str">
        <v>도혜드로잉</v>
      </c>
      <c r="E28" s="1" t="str">
        <v>IC0722500</v>
      </c>
      <c r="F28" s="1" t="str">
        <v>도혜드로잉 일반</v>
      </c>
      <c r="G28" s="1" t="str">
        <v>Y</v>
      </c>
    </row>
    <row r="29">
      <c r="A29" s="1">
        <v>9</v>
      </c>
      <c r="B29" s="1" t="str">
        <v>문구</v>
      </c>
      <c r="C29" s="1" t="str">
        <v>0817225</v>
      </c>
      <c r="D29" s="1" t="str">
        <v>도혜드로잉</v>
      </c>
      <c r="E29" s="1" t="str">
        <v>IC0722501</v>
      </c>
      <c r="F29" s="1" t="str">
        <v>도혜드로잉 정품</v>
      </c>
      <c r="G29" s="1" t="str">
        <v>N</v>
      </c>
    </row>
    <row r="30">
      <c r="A30" s="1">
        <v>10</v>
      </c>
      <c r="B30" s="1" t="str">
        <v>문구</v>
      </c>
      <c r="C30" s="1" t="str">
        <v>0810456</v>
      </c>
      <c r="D30" s="1" t="str">
        <v>디앤에프조이필</v>
      </c>
      <c r="E30" s="1" t="str">
        <v>IC0045600</v>
      </c>
      <c r="F30" s="1" t="str">
        <v>디앤에프조이필 일반</v>
      </c>
      <c r="G30" s="1" t="str">
        <v>Y</v>
      </c>
    </row>
    <row r="31">
      <c r="A31" s="1">
        <v>11</v>
      </c>
      <c r="B31" s="1" t="str">
        <v>문구</v>
      </c>
      <c r="C31" s="1" t="str">
        <v>0803503</v>
      </c>
      <c r="D31" s="1" t="str">
        <v>로마네</v>
      </c>
      <c r="E31" s="1" t="str">
        <v>IC0350300</v>
      </c>
      <c r="F31" s="1" t="str">
        <v>로마네 일반</v>
      </c>
      <c r="G31" s="1" t="str">
        <v>Y</v>
      </c>
    </row>
    <row r="32">
      <c r="A32" s="1">
        <v>12</v>
      </c>
      <c r="B32" s="1" t="str">
        <v>문구</v>
      </c>
      <c r="C32" s="1" t="str">
        <v>0816525</v>
      </c>
      <c r="D32" s="1" t="str">
        <v>루카랩컴퍼니</v>
      </c>
      <c r="E32" s="1" t="str">
        <v>IC0652500</v>
      </c>
      <c r="F32" s="1" t="str">
        <v>루카랩컴퍼니 일반</v>
      </c>
      <c r="G32" s="1" t="str">
        <v>Y</v>
      </c>
    </row>
    <row r="33">
      <c r="A33" s="1">
        <v>12</v>
      </c>
      <c r="B33" s="1" t="str">
        <v>문구</v>
      </c>
      <c r="C33" s="1" t="str">
        <v>0816525</v>
      </c>
      <c r="D33" s="1" t="str">
        <v>루카랩컴퍼니</v>
      </c>
      <c r="E33" s="1" t="str">
        <v>IC0652501</v>
      </c>
      <c r="F33" s="1" t="str">
        <v>루카랩컴퍼니 증정</v>
      </c>
      <c r="G33" s="1" t="str">
        <v>N</v>
      </c>
    </row>
    <row r="34">
      <c r="A34" s="1">
        <v>12</v>
      </c>
      <c r="B34" s="1" t="str">
        <v>문구</v>
      </c>
      <c r="C34" s="1" t="str">
        <v>0816525</v>
      </c>
      <c r="D34" s="1" t="str">
        <v>루카랩컴퍼니</v>
      </c>
      <c r="E34" s="1" t="str">
        <v>IC0652502</v>
      </c>
      <c r="F34" s="1" t="str">
        <v>루카랩컴퍼니 대표상품</v>
      </c>
      <c r="G34" s="1" t="str">
        <v>N</v>
      </c>
    </row>
    <row r="35">
      <c r="A35" s="1">
        <v>12</v>
      </c>
      <c r="B35" s="1" t="str">
        <v>문구</v>
      </c>
      <c r="C35" s="1" t="str">
        <v>0816525</v>
      </c>
      <c r="D35" s="1" t="str">
        <v>루카랩컴퍼니</v>
      </c>
      <c r="E35" s="1" t="str">
        <v>IC0652503</v>
      </c>
      <c r="F35" s="1" t="str">
        <v>루카랩컴퍼니 특가</v>
      </c>
      <c r="G35" s="1" t="str">
        <v>N</v>
      </c>
    </row>
    <row r="36">
      <c r="A36" s="1">
        <v>13</v>
      </c>
      <c r="B36" s="1" t="str">
        <v>문구</v>
      </c>
      <c r="C36" s="1" t="str">
        <v>0812988</v>
      </c>
      <c r="D36" s="1" t="str">
        <v>모트모트</v>
      </c>
      <c r="E36" s="1" t="str">
        <v>IC0298800</v>
      </c>
      <c r="F36" s="1" t="str">
        <v>모트모트 일반</v>
      </c>
      <c r="G36" s="1" t="str">
        <v>Y</v>
      </c>
    </row>
    <row r="37">
      <c r="A37" s="1">
        <v>13</v>
      </c>
      <c r="B37" s="1" t="str">
        <v>문구</v>
      </c>
      <c r="C37" s="1" t="str">
        <v>0812988</v>
      </c>
      <c r="D37" s="1" t="str">
        <v>모트모트</v>
      </c>
      <c r="E37" s="1" t="str">
        <v>IC0298801</v>
      </c>
      <c r="F37" s="1" t="str">
        <v>모트모트 PB</v>
      </c>
      <c r="G37" s="1" t="str">
        <v>N</v>
      </c>
    </row>
    <row r="38">
      <c r="A38" s="1">
        <v>13</v>
      </c>
      <c r="B38" s="1" t="str">
        <v>문구</v>
      </c>
      <c r="C38" s="1" t="str">
        <v>0812988</v>
      </c>
      <c r="D38" s="1" t="str">
        <v>모트모트</v>
      </c>
      <c r="E38" s="1" t="str">
        <v>IC0298802</v>
      </c>
      <c r="F38" s="1" t="str">
        <v>모트모트 리미티드</v>
      </c>
      <c r="G38" s="1" t="str">
        <v>N</v>
      </c>
    </row>
    <row r="39">
      <c r="A39" s="1">
        <v>14</v>
      </c>
      <c r="B39" s="1" t="str">
        <v>문구</v>
      </c>
      <c r="C39" s="1" t="str">
        <v>0811795</v>
      </c>
      <c r="D39" s="1" t="str">
        <v>베르제마넷</v>
      </c>
      <c r="E39" s="1" t="str">
        <v>IC0179500</v>
      </c>
      <c r="F39" s="1" t="str">
        <v>베르제마넷 일반</v>
      </c>
      <c r="G39" s="1" t="str">
        <v>Y</v>
      </c>
    </row>
    <row r="40">
      <c r="A40" s="1">
        <v>14</v>
      </c>
      <c r="B40" s="1" t="str">
        <v>문구</v>
      </c>
      <c r="C40" s="1" t="str">
        <v>0811795</v>
      </c>
      <c r="D40" s="1" t="str">
        <v>베르제마넷</v>
      </c>
      <c r="E40" s="1" t="str">
        <v>IC0179501</v>
      </c>
      <c r="F40" s="1" t="str">
        <v>베르제마넷 리미티드</v>
      </c>
      <c r="G40" s="1" t="str">
        <v>N</v>
      </c>
    </row>
    <row r="41">
      <c r="A41" s="1">
        <v>14</v>
      </c>
      <c r="B41" s="1" t="str">
        <v>문구</v>
      </c>
      <c r="C41" s="1" t="str">
        <v>0811795</v>
      </c>
      <c r="D41" s="1" t="str">
        <v>베르제마넷</v>
      </c>
      <c r="E41" s="1" t="str">
        <v>IC0179502</v>
      </c>
      <c r="F41" s="1" t="str">
        <v>베르제마넷 기획전</v>
      </c>
      <c r="G41" s="1" t="str">
        <v>N</v>
      </c>
    </row>
    <row r="42">
      <c r="A42" s="1">
        <v>15</v>
      </c>
      <c r="B42" s="1" t="str">
        <v>문구</v>
      </c>
      <c r="C42" s="1" t="str">
        <v>0817604</v>
      </c>
      <c r="D42" s="1" t="str">
        <v>비온뒤</v>
      </c>
      <c r="E42" s="1" t="str">
        <v>IC0760400</v>
      </c>
      <c r="F42" s="1" t="str">
        <v>비온뒤 일반</v>
      </c>
      <c r="G42" s="1" t="str">
        <v>Y</v>
      </c>
    </row>
    <row r="43">
      <c r="A43" s="1">
        <v>15</v>
      </c>
      <c r="B43" s="1" t="str">
        <v>문구</v>
      </c>
      <c r="C43" s="1" t="str">
        <v>0817604</v>
      </c>
      <c r="D43" s="1" t="str">
        <v>비온뒤</v>
      </c>
      <c r="E43" s="1" t="str">
        <v>IC0760401</v>
      </c>
      <c r="F43" s="1" t="str">
        <v>비온뒤 특가</v>
      </c>
      <c r="G43" s="1" t="str">
        <v>N</v>
      </c>
    </row>
    <row r="44">
      <c r="A44" s="1">
        <v>15</v>
      </c>
      <c r="B44" s="1" t="str">
        <v>문구</v>
      </c>
      <c r="C44" s="1" t="str">
        <v>0817604</v>
      </c>
      <c r="D44" s="1" t="str">
        <v>비온뒤</v>
      </c>
      <c r="E44" s="1" t="str">
        <v>IC0760402</v>
      </c>
      <c r="F44" s="1" t="str">
        <v>비온뒤 문구행사</v>
      </c>
      <c r="G44" s="1" t="str">
        <v>N</v>
      </c>
    </row>
    <row r="45">
      <c r="A45" s="1">
        <v>16</v>
      </c>
      <c r="B45" s="1" t="str">
        <v>문구</v>
      </c>
      <c r="C45" s="1" t="str">
        <v>0803289</v>
      </c>
      <c r="D45" s="1" t="str">
        <v>솜씨스템프</v>
      </c>
      <c r="E45" s="1" t="str">
        <v>IC0328900</v>
      </c>
      <c r="F45" s="1" t="str">
        <v>솜씨스템프 일반</v>
      </c>
      <c r="G45" s="1" t="str">
        <v>Y</v>
      </c>
    </row>
    <row r="46">
      <c r="A46" s="1">
        <v>16</v>
      </c>
      <c r="B46" s="1" t="str">
        <v>문구</v>
      </c>
      <c r="C46" s="1" t="str">
        <v>0803289</v>
      </c>
      <c r="D46" s="1" t="str">
        <v>솜씨스템프</v>
      </c>
      <c r="E46" s="1" t="str">
        <v>IC0328901</v>
      </c>
      <c r="F46" s="1" t="str">
        <v>솜씨스템프 증정</v>
      </c>
      <c r="G46" s="1" t="str">
        <v>N</v>
      </c>
    </row>
    <row r="47">
      <c r="A47" s="1">
        <v>17</v>
      </c>
      <c r="B47" s="1" t="str">
        <v>문구</v>
      </c>
      <c r="C47" s="1" t="str">
        <v>0803222</v>
      </c>
      <c r="D47" s="1" t="str">
        <v>아르디움</v>
      </c>
      <c r="E47" s="1" t="str">
        <v>IC0322200</v>
      </c>
      <c r="F47" s="1" t="str">
        <v>아르디움 일반</v>
      </c>
      <c r="G47" s="1" t="str">
        <v>Y</v>
      </c>
    </row>
    <row r="48">
      <c r="A48" s="1">
        <v>17</v>
      </c>
      <c r="B48" s="1" t="str">
        <v>문구</v>
      </c>
      <c r="C48" s="1" t="str">
        <v>0803222</v>
      </c>
      <c r="D48" s="1" t="str">
        <v>아르디움</v>
      </c>
      <c r="E48" s="1" t="str">
        <v>IC0322201</v>
      </c>
      <c r="F48" s="1" t="str">
        <v>아르디움 기획전</v>
      </c>
      <c r="G48" s="1" t="str">
        <v>N</v>
      </c>
    </row>
    <row r="49">
      <c r="A49" s="1">
        <v>17</v>
      </c>
      <c r="B49" s="1" t="str">
        <v>문구</v>
      </c>
      <c r="C49" s="1" t="str">
        <v>0803222</v>
      </c>
      <c r="D49" s="1" t="str">
        <v>아르디움</v>
      </c>
      <c r="E49" s="1" t="str">
        <v>IC0322202</v>
      </c>
      <c r="F49" s="1" t="str">
        <v>아르디움 증정</v>
      </c>
      <c r="G49" s="1" t="str">
        <v>N</v>
      </c>
    </row>
    <row r="50">
      <c r="A50" s="1">
        <v>17</v>
      </c>
      <c r="B50" s="1" t="str">
        <v>문구</v>
      </c>
      <c r="C50" s="1" t="str">
        <v>0803222</v>
      </c>
      <c r="D50" s="1" t="str">
        <v>아르디움</v>
      </c>
      <c r="E50" s="1" t="str">
        <v>IC0322203</v>
      </c>
      <c r="F50" s="1" t="str">
        <v>아르디움 대표상품</v>
      </c>
      <c r="G50" s="1" t="str">
        <v>N</v>
      </c>
    </row>
    <row r="51">
      <c r="A51" s="1">
        <v>18</v>
      </c>
      <c r="B51" s="1" t="str">
        <v>문구</v>
      </c>
      <c r="C51" s="1" t="str">
        <v>0803186</v>
      </c>
      <c r="D51" s="1" t="str">
        <v>아이코닉</v>
      </c>
      <c r="E51" s="1" t="str">
        <v>IC0318600</v>
      </c>
      <c r="F51" s="1" t="str">
        <v>아이코닉 일반</v>
      </c>
      <c r="G51" s="1" t="str">
        <v>Y</v>
      </c>
    </row>
    <row r="52">
      <c r="A52" s="1">
        <v>18</v>
      </c>
      <c r="B52" s="1" t="str">
        <v>문구</v>
      </c>
      <c r="C52" s="1" t="str">
        <v>0803186</v>
      </c>
      <c r="D52" s="1" t="str">
        <v>아이코닉</v>
      </c>
      <c r="E52" s="1" t="str">
        <v>IC0318601</v>
      </c>
      <c r="F52" s="1" t="str">
        <v>아이코닉 특가</v>
      </c>
      <c r="G52" s="1" t="str">
        <v>N</v>
      </c>
    </row>
    <row r="53">
      <c r="A53" s="1">
        <v>18</v>
      </c>
      <c r="B53" s="1" t="str">
        <v>문구</v>
      </c>
      <c r="C53" s="1" t="str">
        <v>0803186</v>
      </c>
      <c r="D53" s="1" t="str">
        <v>아이코닉</v>
      </c>
      <c r="E53" s="1" t="str">
        <v>IC0318602</v>
      </c>
      <c r="F53" s="1" t="str">
        <v>아이코닉 문구행사</v>
      </c>
      <c r="G53" s="1" t="str">
        <v>N</v>
      </c>
    </row>
    <row r="54">
      <c r="A54" s="1">
        <v>19</v>
      </c>
      <c r="B54" s="1" t="str">
        <v>문구</v>
      </c>
      <c r="C54" s="1" t="str">
        <v>0803159</v>
      </c>
      <c r="D54" s="1" t="str">
        <v>안테나샵</v>
      </c>
      <c r="E54" s="1" t="str">
        <v>IC0315900</v>
      </c>
      <c r="F54" s="1" t="str">
        <v>안테나샵 일반</v>
      </c>
      <c r="G54" s="1" t="str">
        <v>Y</v>
      </c>
    </row>
    <row r="55">
      <c r="A55" s="1">
        <v>19</v>
      </c>
      <c r="B55" s="1" t="str">
        <v>문구</v>
      </c>
      <c r="C55" s="1" t="str">
        <v>0803159</v>
      </c>
      <c r="D55" s="1" t="str">
        <v>안테나샵</v>
      </c>
      <c r="E55" s="1" t="str">
        <v>IC0315901</v>
      </c>
      <c r="F55" s="1" t="str">
        <v>안테나샵 특가</v>
      </c>
      <c r="G55" s="1" t="str">
        <v>N</v>
      </c>
    </row>
    <row r="56">
      <c r="A56" s="1">
        <v>19</v>
      </c>
      <c r="B56" s="1" t="str">
        <v>문구</v>
      </c>
      <c r="C56" s="1" t="str">
        <v>0803159</v>
      </c>
      <c r="D56" s="1" t="str">
        <v>안테나샵</v>
      </c>
      <c r="E56" s="1" t="str">
        <v>IC0315902</v>
      </c>
      <c r="F56" s="1" t="str">
        <v>안테나샵 문구행사</v>
      </c>
      <c r="G56" s="1" t="str">
        <v>N</v>
      </c>
    </row>
    <row r="57">
      <c r="A57" s="1">
        <v>20</v>
      </c>
      <c r="B57" s="1" t="str">
        <v>문구</v>
      </c>
      <c r="C57" s="1" t="str">
        <v>0803303</v>
      </c>
      <c r="D57" s="1" t="str">
        <v>이투컬렉션</v>
      </c>
      <c r="E57" s="1" t="str">
        <v>IC0330300</v>
      </c>
      <c r="F57" s="1" t="str">
        <v>이투컬렉션 일반</v>
      </c>
      <c r="G57" s="1" t="str">
        <v>Y</v>
      </c>
    </row>
    <row r="58">
      <c r="A58" s="1">
        <v>20</v>
      </c>
      <c r="B58" s="1" t="str">
        <v>문구</v>
      </c>
      <c r="C58" s="1" t="str">
        <v>0803303</v>
      </c>
      <c r="D58" s="1" t="str">
        <v>이투컬렉션</v>
      </c>
      <c r="E58" s="1" t="str">
        <v>IC0330301</v>
      </c>
      <c r="F58" s="1" t="str">
        <v>이투컬렉션 기획전</v>
      </c>
      <c r="G58" s="1" t="str">
        <v>N</v>
      </c>
    </row>
    <row r="59">
      <c r="A59" s="1">
        <v>20</v>
      </c>
      <c r="B59" s="1" t="str">
        <v>문구</v>
      </c>
      <c r="C59" s="1" t="str">
        <v>0803303</v>
      </c>
      <c r="D59" s="1" t="str">
        <v>이투컬렉션</v>
      </c>
      <c r="E59" s="1" t="str">
        <v>IC0330302</v>
      </c>
      <c r="F59" s="1" t="str">
        <v>이투컬렉션 증정</v>
      </c>
      <c r="G59" s="1" t="str">
        <v>N</v>
      </c>
    </row>
    <row r="60">
      <c r="A60" s="1">
        <v>20</v>
      </c>
      <c r="B60" s="1" t="str">
        <v>문구</v>
      </c>
      <c r="C60" s="1" t="str">
        <v>0803303</v>
      </c>
      <c r="D60" s="1" t="str">
        <v>이투컬렉션</v>
      </c>
      <c r="E60" s="1" t="str">
        <v>IC0330303</v>
      </c>
      <c r="F60" s="1" t="str">
        <v>이투컬렉션 대표상품</v>
      </c>
      <c r="G60" s="1" t="str">
        <v>N</v>
      </c>
    </row>
    <row r="61">
      <c r="A61" s="1">
        <v>21</v>
      </c>
      <c r="B61" s="1" t="str">
        <v>문구</v>
      </c>
      <c r="C61" s="1" t="str">
        <v>0803690</v>
      </c>
      <c r="D61" s="1" t="str">
        <v>인디고</v>
      </c>
      <c r="E61" s="1" t="str">
        <v>IC0369000</v>
      </c>
      <c r="F61" s="1" t="str">
        <v>인디고 일반</v>
      </c>
      <c r="G61" s="1" t="str">
        <v>Y</v>
      </c>
    </row>
    <row r="62">
      <c r="A62" s="1">
        <v>21</v>
      </c>
      <c r="B62" s="1" t="str">
        <v>문구</v>
      </c>
      <c r="C62" s="1" t="str">
        <v>0803690</v>
      </c>
      <c r="D62" s="1" t="str">
        <v>인디고</v>
      </c>
      <c r="E62" s="1" t="str">
        <v>IC0369001</v>
      </c>
      <c r="F62" s="1" t="str">
        <v>인디고 기획전</v>
      </c>
      <c r="G62" s="1" t="str">
        <v>N</v>
      </c>
    </row>
    <row r="63">
      <c r="A63" s="1">
        <v>21</v>
      </c>
      <c r="B63" s="1" t="str">
        <v>문구</v>
      </c>
      <c r="C63" s="1" t="str">
        <v>0803690</v>
      </c>
      <c r="D63" s="1" t="str">
        <v>인디고</v>
      </c>
      <c r="E63" s="1" t="str">
        <v>IC0369002</v>
      </c>
      <c r="F63" s="1" t="str">
        <v>인디고 증정</v>
      </c>
      <c r="G63" s="1" t="str">
        <v>N</v>
      </c>
    </row>
    <row r="64">
      <c r="A64" s="1">
        <v>22</v>
      </c>
      <c r="B64" s="1" t="str">
        <v>문구</v>
      </c>
      <c r="C64" s="1" t="str">
        <v>0803825</v>
      </c>
      <c r="D64" s="1" t="str">
        <v>정인통상</v>
      </c>
      <c r="E64" s="1" t="str">
        <v>IC0382500</v>
      </c>
      <c r="F64" s="1" t="str">
        <v>정인통상 일반</v>
      </c>
      <c r="G64" s="1" t="str">
        <v>Y</v>
      </c>
    </row>
    <row r="65">
      <c r="A65" s="1">
        <v>22</v>
      </c>
      <c r="B65" s="1" t="str">
        <v>문구</v>
      </c>
      <c r="C65" s="1" t="str">
        <v>0803825</v>
      </c>
      <c r="D65" s="1" t="str">
        <v>정인통상</v>
      </c>
      <c r="E65" s="1" t="str">
        <v>IC0382501</v>
      </c>
      <c r="F65" s="1" t="str">
        <v>정인통상 기획전</v>
      </c>
      <c r="G65" s="1" t="str">
        <v>N</v>
      </c>
    </row>
    <row r="66">
      <c r="A66" s="1">
        <v>22</v>
      </c>
      <c r="B66" s="1" t="str">
        <v>문구</v>
      </c>
      <c r="C66" s="1" t="str">
        <v>0803825</v>
      </c>
      <c r="D66" s="1" t="str">
        <v>정인통상</v>
      </c>
      <c r="E66" s="1" t="str">
        <v>IC0382502</v>
      </c>
      <c r="F66" s="1" t="str">
        <v>정인통상 증정</v>
      </c>
      <c r="G66" s="1" t="str">
        <v>N</v>
      </c>
    </row>
    <row r="67">
      <c r="A67" s="1">
        <v>23</v>
      </c>
      <c r="B67" s="1" t="str">
        <v>문구</v>
      </c>
      <c r="C67" s="1" t="str">
        <v>0803187</v>
      </c>
      <c r="D67" s="1" t="str">
        <v>칠삼이일디자인</v>
      </c>
      <c r="E67" s="1" t="str">
        <v>IC0318700</v>
      </c>
      <c r="F67" s="1" t="str">
        <v>칠삼이일디자인 일반</v>
      </c>
      <c r="G67" s="1" t="str">
        <v>Y</v>
      </c>
    </row>
    <row r="68">
      <c r="A68" s="1">
        <v>23</v>
      </c>
      <c r="B68" s="1" t="str">
        <v>문구</v>
      </c>
      <c r="C68" s="1" t="str">
        <v>0803187</v>
      </c>
      <c r="D68" s="1" t="str">
        <v>칠삼이일디자인</v>
      </c>
      <c r="E68" s="1" t="str">
        <v>IC0318701</v>
      </c>
      <c r="F68" s="1" t="str">
        <v>칠삼이일디자인 증정</v>
      </c>
      <c r="G68" s="1" t="str">
        <v>N</v>
      </c>
    </row>
    <row r="69">
      <c r="A69" s="1">
        <v>23</v>
      </c>
      <c r="B69" s="1" t="str">
        <v>문구</v>
      </c>
      <c r="C69" s="1" t="str">
        <v>0803187</v>
      </c>
      <c r="D69" s="1" t="str">
        <v>칠삼이일디자인</v>
      </c>
      <c r="E69" s="1" t="str">
        <v>IC0318702</v>
      </c>
      <c r="F69" s="1" t="str">
        <v>칠삼이일디자인 대표상품</v>
      </c>
      <c r="G69" s="1" t="str">
        <v>N</v>
      </c>
    </row>
    <row r="70">
      <c r="A70" s="1">
        <v>23</v>
      </c>
      <c r="B70" s="1" t="str">
        <v>문구</v>
      </c>
      <c r="C70" s="1" t="str">
        <v>0803187</v>
      </c>
      <c r="D70" s="1" t="str">
        <v>칠삼이일디자인</v>
      </c>
      <c r="E70" s="1" t="str">
        <v>IC0318703</v>
      </c>
      <c r="F70" s="1" t="str">
        <v>칠삼이일디자인 특가</v>
      </c>
      <c r="G70" s="1" t="str">
        <v>N</v>
      </c>
    </row>
    <row r="71">
      <c r="A71" s="1">
        <v>24</v>
      </c>
      <c r="B71" s="1" t="str">
        <v>문구</v>
      </c>
      <c r="C71" s="1" t="str">
        <v>0811513</v>
      </c>
      <c r="D71" s="1" t="str">
        <v>캘리엠</v>
      </c>
      <c r="E71" s="1" t="str">
        <v>IC0151300</v>
      </c>
      <c r="F71" s="1" t="str">
        <v>캘리엠 일반</v>
      </c>
      <c r="G71" s="1" t="str">
        <v>Y</v>
      </c>
    </row>
    <row r="72">
      <c r="A72" s="1">
        <v>25</v>
      </c>
      <c r="B72" s="1" t="str">
        <v>문구</v>
      </c>
      <c r="C72" s="1" t="str">
        <v>0810588</v>
      </c>
      <c r="D72" s="1" t="str">
        <v>케이디코퍼레이션</v>
      </c>
      <c r="E72" s="1" t="str">
        <v>IC0058800</v>
      </c>
      <c r="F72" s="1" t="str">
        <v>케이디코퍼레이션 일반</v>
      </c>
      <c r="G72" s="1" t="str">
        <v>Y</v>
      </c>
    </row>
    <row r="73">
      <c r="A73" s="1">
        <v>25</v>
      </c>
      <c r="B73" s="1" t="str">
        <v>문구</v>
      </c>
      <c r="C73" s="1" t="str">
        <v>0810588</v>
      </c>
      <c r="D73" s="1" t="str">
        <v>케이디코퍼레이션</v>
      </c>
      <c r="E73" s="1" t="str">
        <v>IC0058801</v>
      </c>
      <c r="F73" s="1" t="str">
        <v>케이디코퍼레이션 문구행사</v>
      </c>
      <c r="G73" s="1" t="str">
        <v>N</v>
      </c>
    </row>
    <row r="74">
      <c r="A74" s="1">
        <v>26</v>
      </c>
      <c r="B74" s="1" t="str">
        <v>문구</v>
      </c>
      <c r="C74" s="1" t="str">
        <v>0818036</v>
      </c>
      <c r="D74" s="1" t="str">
        <v>페펜스튜디오</v>
      </c>
      <c r="E74" s="1" t="str">
        <v>IC0803600</v>
      </c>
      <c r="F74" s="1" t="str">
        <v>페펜스튜디오 일반</v>
      </c>
      <c r="G74" s="1" t="str">
        <v>Y</v>
      </c>
    </row>
    <row r="75">
      <c r="A75" s="1">
        <v>26</v>
      </c>
      <c r="B75" s="1" t="str">
        <v>문구</v>
      </c>
      <c r="C75" s="1" t="str">
        <v>0818036</v>
      </c>
      <c r="D75" s="1" t="str">
        <v>페펜스튜디오</v>
      </c>
      <c r="E75" s="1" t="str">
        <v>IC0803601</v>
      </c>
      <c r="F75" s="1" t="str">
        <v>페펜스튜디오 특가</v>
      </c>
      <c r="G75" s="1" t="str">
        <v>N</v>
      </c>
    </row>
    <row r="76">
      <c r="A76" s="1">
        <v>26</v>
      </c>
      <c r="B76" s="1" t="str">
        <v>문구</v>
      </c>
      <c r="C76" s="1" t="str">
        <v>0818036</v>
      </c>
      <c r="D76" s="1" t="str">
        <v>페펜스튜디오</v>
      </c>
      <c r="E76" s="1" t="str">
        <v>IC0803602</v>
      </c>
      <c r="F76" s="1" t="str">
        <v>페펜스튜디오 문구행사</v>
      </c>
      <c r="G76" s="1" t="str">
        <v>N</v>
      </c>
    </row>
    <row r="77">
      <c r="A77" s="1">
        <v>27</v>
      </c>
      <c r="B77" s="1" t="str">
        <v>문구</v>
      </c>
      <c r="C77" s="1" t="str">
        <v>0803267</v>
      </c>
      <c r="D77" s="1" t="str">
        <v>플레플레</v>
      </c>
      <c r="E77" s="1" t="str">
        <v>IC0326700</v>
      </c>
      <c r="F77" s="1" t="str">
        <v>플레플레 일반</v>
      </c>
      <c r="G77" s="1" t="str">
        <v>Y</v>
      </c>
    </row>
    <row r="78">
      <c r="A78" s="1">
        <v>27</v>
      </c>
      <c r="B78" s="1" t="str">
        <v>문구</v>
      </c>
      <c r="C78" s="1" t="str">
        <v>0803267</v>
      </c>
      <c r="D78" s="1" t="str">
        <v>플레플레</v>
      </c>
      <c r="E78" s="1" t="str">
        <v>IC0326701</v>
      </c>
      <c r="F78" s="1" t="str">
        <v>플레플레 특가</v>
      </c>
      <c r="G78" s="1" t="str">
        <v>N</v>
      </c>
    </row>
    <row r="79">
      <c r="A79" s="1">
        <v>27</v>
      </c>
      <c r="B79" s="1" t="str">
        <v>문구</v>
      </c>
      <c r="C79" s="1" t="str">
        <v>0803267</v>
      </c>
      <c r="D79" s="1" t="str">
        <v>플레플레</v>
      </c>
      <c r="E79" s="1" t="str">
        <v>IC0326702</v>
      </c>
      <c r="F79" s="1" t="str">
        <v>플레플레 문구행사</v>
      </c>
      <c r="G79" s="1" t="str">
        <v>N</v>
      </c>
    </row>
    <row r="80">
      <c r="A80" s="1">
        <v>28</v>
      </c>
      <c r="B80" s="1" t="str">
        <v>문구</v>
      </c>
      <c r="C80" s="1" t="str">
        <v>0807497</v>
      </c>
      <c r="D80" s="1" t="str">
        <v>학산문화사</v>
      </c>
      <c r="E80" s="1" t="str">
        <v>IC0749700</v>
      </c>
      <c r="F80" s="1" t="str">
        <v>학산문화사 일반</v>
      </c>
      <c r="G80" s="1" t="str">
        <v>Y</v>
      </c>
    </row>
    <row r="81">
      <c r="A81" s="1">
        <v>28</v>
      </c>
      <c r="B81" s="1" t="str">
        <v>문구</v>
      </c>
      <c r="C81" s="1" t="str">
        <v>0807497</v>
      </c>
      <c r="D81" s="1" t="str">
        <v>학산문화사</v>
      </c>
      <c r="E81" s="1" t="str">
        <v>IC0749701</v>
      </c>
      <c r="F81" s="1" t="str">
        <v>학산문화사 베이직</v>
      </c>
      <c r="G81" s="1" t="str">
        <v>N</v>
      </c>
    </row>
    <row r="82">
      <c r="A82" s="1">
        <v>29</v>
      </c>
      <c r="B82" s="1" t="str">
        <v>문구</v>
      </c>
      <c r="C82" s="1" t="str">
        <v>0817135</v>
      </c>
      <c r="D82" s="1" t="str">
        <v>해피썬</v>
      </c>
      <c r="E82" s="1" t="str">
        <v>IC0713500</v>
      </c>
      <c r="F82" s="1" t="str">
        <v>해피썬 일반</v>
      </c>
      <c r="G82" s="1" t="str">
        <v>Y</v>
      </c>
    </row>
    <row r="83">
      <c r="A83" s="1">
        <v>29</v>
      </c>
      <c r="B83" s="1" t="str">
        <v>문구</v>
      </c>
      <c r="C83" s="1" t="str">
        <v>0817135</v>
      </c>
      <c r="D83" s="1" t="str">
        <v>해피썬</v>
      </c>
      <c r="E83" s="1" t="str">
        <v>IC0713501</v>
      </c>
      <c r="F83" s="1" t="str">
        <v>해피썬 대표상품</v>
      </c>
      <c r="G83" s="1" t="str">
        <v>N</v>
      </c>
    </row>
    <row r="84">
      <c r="A84" s="1">
        <v>30</v>
      </c>
      <c r="B84" s="1" t="str">
        <v>문구</v>
      </c>
      <c r="C84" s="1" t="str">
        <v>0803144</v>
      </c>
      <c r="D84" s="1" t="str">
        <v>씨케이세일즈</v>
      </c>
      <c r="E84" s="1" t="str">
        <v>IC0314400</v>
      </c>
      <c r="F84" s="1" t="str">
        <v>씨케이세일즈 일반</v>
      </c>
      <c r="G84" s="1" t="str">
        <v>Y</v>
      </c>
    </row>
    <row r="85">
      <c r="A85" s="1">
        <v>30</v>
      </c>
      <c r="B85" s="1" t="str">
        <v>문구</v>
      </c>
      <c r="C85" s="1" t="str">
        <v>0803144</v>
      </c>
      <c r="D85" s="1" t="str">
        <v>씨케이세일즈</v>
      </c>
      <c r="E85" s="1" t="str">
        <v>IC0314401</v>
      </c>
      <c r="F85" s="1" t="str">
        <v>씨케이세일즈 특가</v>
      </c>
      <c r="G85" s="1" t="str">
        <v>N</v>
      </c>
    </row>
    <row r="86">
      <c r="A86" s="1">
        <v>31</v>
      </c>
      <c r="B86" s="1" t="str">
        <v>문구</v>
      </c>
      <c r="C86" s="1" t="str">
        <v>0803527</v>
      </c>
      <c r="D86" s="1" t="str">
        <v>프론티어통상</v>
      </c>
      <c r="E86" s="1" t="str">
        <v>IC0352700</v>
      </c>
      <c r="F86" s="1" t="str">
        <v>프론티어통상 일반</v>
      </c>
      <c r="G86" s="1" t="str">
        <v>Y</v>
      </c>
    </row>
    <row r="87">
      <c r="A87" s="1">
        <v>31</v>
      </c>
      <c r="B87" s="1" t="str">
        <v>문구</v>
      </c>
      <c r="C87" s="1" t="str">
        <v>0803527</v>
      </c>
      <c r="D87" s="1" t="str">
        <v>프론티어통상</v>
      </c>
      <c r="E87" s="1" t="str">
        <v>IC0352701</v>
      </c>
      <c r="F87" s="1" t="str">
        <v>프론티어통상 대표상품</v>
      </c>
      <c r="G87" s="1" t="str">
        <v>N</v>
      </c>
    </row>
    <row r="88">
      <c r="A88" s="1">
        <v>32</v>
      </c>
      <c r="B88" s="1" t="str">
        <v>문구</v>
      </c>
      <c r="C88" s="1" t="str">
        <v>0803255</v>
      </c>
      <c r="D88" s="1" t="str">
        <v>모닝글로리</v>
      </c>
      <c r="E88" s="1" t="str">
        <v>IC0325500</v>
      </c>
      <c r="F88" s="1" t="str">
        <v>모닝글로리 일반</v>
      </c>
      <c r="G88" s="1" t="str">
        <v>Y</v>
      </c>
    </row>
    <row r="89">
      <c r="A89" s="1">
        <v>32</v>
      </c>
      <c r="B89" s="1" t="str">
        <v>문구</v>
      </c>
      <c r="C89" s="1" t="str">
        <v>0803255</v>
      </c>
      <c r="D89" s="1" t="str">
        <v>모닝글로리</v>
      </c>
      <c r="E89" s="1" t="str">
        <v>IC0325501</v>
      </c>
      <c r="F89" s="1" t="str">
        <v>모닝글로리 베이직</v>
      </c>
      <c r="G89" s="1" t="str">
        <v>N</v>
      </c>
    </row>
    <row r="90">
      <c r="A90" s="1">
        <v>32</v>
      </c>
      <c r="B90" s="1" t="str">
        <v>문구</v>
      </c>
      <c r="C90" s="1" t="str">
        <v>0803255</v>
      </c>
      <c r="D90" s="1" t="str">
        <v>모닝글로리</v>
      </c>
      <c r="E90" s="1" t="str">
        <v>IC0325502</v>
      </c>
      <c r="F90" s="1" t="str">
        <v>모닝글로리 PB</v>
      </c>
      <c r="G90" s="1" t="str">
        <v>N</v>
      </c>
    </row>
    <row r="91">
      <c r="A91" s="1">
        <v>32</v>
      </c>
      <c r="B91" s="1" t="str">
        <v>문구</v>
      </c>
      <c r="C91" s="1" t="str">
        <v>0803255</v>
      </c>
      <c r="D91" s="1" t="str">
        <v>모닝글로리</v>
      </c>
      <c r="E91" s="1" t="str">
        <v>IC0325503</v>
      </c>
      <c r="F91" s="1" t="str">
        <v>모닝글로리 리미티드</v>
      </c>
      <c r="G91" s="1" t="str">
        <v>N</v>
      </c>
    </row>
    <row r="92">
      <c r="A92" s="1">
        <v>32</v>
      </c>
      <c r="B92" s="1" t="str">
        <v>문구</v>
      </c>
      <c r="C92" s="1" t="str">
        <v>0803255</v>
      </c>
      <c r="D92" s="1" t="str">
        <v>모닝글로리</v>
      </c>
      <c r="E92" s="1" t="str">
        <v>IC0325504</v>
      </c>
      <c r="F92" s="1" t="str">
        <v>모닝글로리 기획전</v>
      </c>
      <c r="G92" s="1" t="str">
        <v>N</v>
      </c>
    </row>
    <row r="93">
      <c r="A93" s="1">
        <v>33</v>
      </c>
      <c r="B93" s="1" t="str">
        <v>문구</v>
      </c>
      <c r="C93" s="1" t="str">
        <v>0803158</v>
      </c>
      <c r="D93" s="1" t="str">
        <v>바이풀디자인</v>
      </c>
      <c r="E93" s="1" t="str">
        <v>IC0315800</v>
      </c>
      <c r="F93" s="1" t="str">
        <v>바이풀디자인 일반</v>
      </c>
      <c r="G93" s="1" t="str">
        <v>Y</v>
      </c>
    </row>
    <row r="94">
      <c r="A94" s="1">
        <v>33</v>
      </c>
      <c r="B94" s="1" t="str">
        <v>문구</v>
      </c>
      <c r="C94" s="1" t="str">
        <v>0803158</v>
      </c>
      <c r="D94" s="1" t="str">
        <v>바이풀디자인</v>
      </c>
      <c r="E94" s="1" t="str">
        <v>IC0315801</v>
      </c>
      <c r="F94" s="1" t="str">
        <v>바이풀디자인 정품</v>
      </c>
      <c r="G94" s="1" t="str">
        <v>N</v>
      </c>
    </row>
    <row r="95">
      <c r="A95" s="1">
        <v>34</v>
      </c>
      <c r="B95" s="1" t="str">
        <v>문구</v>
      </c>
      <c r="C95" s="1" t="str">
        <v>0816796</v>
      </c>
      <c r="D95" s="1" t="str">
        <v>마이누</v>
      </c>
      <c r="E95" s="1" t="str">
        <v>IC0679600</v>
      </c>
      <c r="F95" s="1" t="str">
        <v>마이누 일반</v>
      </c>
      <c r="G95" s="1" t="str">
        <v>Y</v>
      </c>
    </row>
    <row r="96">
      <c r="A96" s="1">
        <v>34</v>
      </c>
      <c r="B96" s="1" t="str">
        <v>문구</v>
      </c>
      <c r="C96" s="1" t="str">
        <v>0816796</v>
      </c>
      <c r="D96" s="1" t="str">
        <v>마이누</v>
      </c>
      <c r="E96" s="1" t="str">
        <v>IC0679601</v>
      </c>
      <c r="F96" s="1" t="str">
        <v>마이누 정품</v>
      </c>
      <c r="G96" s="1" t="str">
        <v>N</v>
      </c>
    </row>
    <row r="97">
      <c r="A97" s="1">
        <v>34</v>
      </c>
      <c r="B97" s="1" t="str">
        <v>문구</v>
      </c>
      <c r="C97" s="1" t="str">
        <v>0816796</v>
      </c>
      <c r="D97" s="1" t="str">
        <v>마이누</v>
      </c>
      <c r="E97" s="1" t="str">
        <v>IC0679602</v>
      </c>
      <c r="F97" s="1" t="str">
        <v>마이누 베이직</v>
      </c>
      <c r="G97" s="1" t="str">
        <v>N</v>
      </c>
    </row>
    <row r="98">
      <c r="A98" s="1">
        <v>34</v>
      </c>
      <c r="B98" s="1" t="str">
        <v>문구</v>
      </c>
      <c r="C98" s="1" t="str">
        <v>0816796</v>
      </c>
      <c r="D98" s="1" t="str">
        <v>마이누</v>
      </c>
      <c r="E98" s="1" t="str">
        <v>IC0679603</v>
      </c>
      <c r="F98" s="1" t="str">
        <v>마이누 PB</v>
      </c>
      <c r="G98" s="1" t="str">
        <v>N</v>
      </c>
    </row>
    <row r="99">
      <c r="A99" s="1">
        <v>35</v>
      </c>
      <c r="B99" s="1" t="str">
        <v>문구</v>
      </c>
      <c r="C99" s="1" t="str">
        <v>0816312</v>
      </c>
      <c r="D99" s="1" t="str">
        <v>엠젯패밀리</v>
      </c>
      <c r="E99" s="1" t="str">
        <v>IC0631200</v>
      </c>
      <c r="F99" s="1" t="str">
        <v>엠젯패밀리 일반</v>
      </c>
      <c r="G99" s="1" t="str">
        <v>Y</v>
      </c>
    </row>
    <row r="100">
      <c r="A100" s="1">
        <v>35</v>
      </c>
      <c r="B100" s="1" t="str">
        <v>문구</v>
      </c>
      <c r="C100" s="1" t="str">
        <v>0816312</v>
      </c>
      <c r="D100" s="1" t="str">
        <v>엠젯패밀리</v>
      </c>
      <c r="E100" s="1" t="str">
        <v>IC0631201</v>
      </c>
      <c r="F100" s="1" t="str">
        <v>엠젯패밀리 PB</v>
      </c>
      <c r="G100" s="1" t="str">
        <v>N</v>
      </c>
    </row>
    <row r="101">
      <c r="A101" s="1">
        <v>35</v>
      </c>
      <c r="B101" s="1" t="str">
        <v>문구</v>
      </c>
      <c r="C101" s="1" t="str">
        <v>0816312</v>
      </c>
      <c r="D101" s="1" t="str">
        <v>엠젯패밀리</v>
      </c>
      <c r="E101" s="1" t="str">
        <v>IC0631202</v>
      </c>
      <c r="F101" s="1" t="str">
        <v>엠젯패밀리 리미티드</v>
      </c>
      <c r="G101" s="1" t="str">
        <v>N</v>
      </c>
    </row>
    <row r="102">
      <c r="A102" s="1">
        <v>36</v>
      </c>
      <c r="B102" s="1" t="str">
        <v>문구</v>
      </c>
      <c r="C102" s="1" t="str">
        <v>0806798</v>
      </c>
      <c r="D102" s="1" t="str">
        <v>이가라인유통</v>
      </c>
      <c r="E102" s="1" t="str">
        <v>IC0679800</v>
      </c>
      <c r="F102" s="1" t="str">
        <v>이가라인유통 일반</v>
      </c>
      <c r="G102" s="1" t="str">
        <v>Y</v>
      </c>
    </row>
    <row r="103">
      <c r="A103" s="1">
        <v>36</v>
      </c>
      <c r="B103" s="1" t="str">
        <v>문구</v>
      </c>
      <c r="C103" s="1" t="str">
        <v>0806798</v>
      </c>
      <c r="D103" s="1" t="str">
        <v>이가라인유통</v>
      </c>
      <c r="E103" s="1" t="str">
        <v>IC0679801</v>
      </c>
      <c r="F103" s="1" t="str">
        <v>이가라인유통 기획전</v>
      </c>
      <c r="G103" s="1" t="str">
        <v>N</v>
      </c>
    </row>
    <row r="104">
      <c r="A104" s="1">
        <v>36</v>
      </c>
      <c r="B104" s="1" t="str">
        <v>문구</v>
      </c>
      <c r="C104" s="1" t="str">
        <v>0806798</v>
      </c>
      <c r="D104" s="1" t="str">
        <v>이가라인유통</v>
      </c>
      <c r="E104" s="1" t="str">
        <v>IC0679802</v>
      </c>
      <c r="F104" s="1" t="str">
        <v>이가라인유통 증정</v>
      </c>
      <c r="G104" s="1" t="str">
        <v>N</v>
      </c>
    </row>
    <row r="105">
      <c r="A105" s="1">
        <v>36</v>
      </c>
      <c r="B105" s="1" t="str">
        <v>문구</v>
      </c>
      <c r="C105" s="1" t="str">
        <v>0806798</v>
      </c>
      <c r="D105" s="1" t="str">
        <v>이가라인유통</v>
      </c>
      <c r="E105" s="1" t="str">
        <v>IC0679803</v>
      </c>
      <c r="F105" s="1" t="str">
        <v>이가라인유통 대표상품</v>
      </c>
      <c r="G105" s="1" t="str">
        <v>N</v>
      </c>
    </row>
    <row r="106">
      <c r="A106" s="1">
        <v>36</v>
      </c>
      <c r="B106" s="1" t="str">
        <v>문구</v>
      </c>
      <c r="C106" s="1" t="str">
        <v>0806798</v>
      </c>
      <c r="D106" s="1" t="str">
        <v>이가라인유통</v>
      </c>
      <c r="E106" s="1" t="str">
        <v>IC0679804</v>
      </c>
      <c r="F106" s="1" t="str">
        <v>이가라인유통 특가</v>
      </c>
      <c r="G106" s="1" t="str">
        <v>N</v>
      </c>
    </row>
    <row r="107">
      <c r="A107" s="1">
        <v>37</v>
      </c>
      <c r="B107" s="1" t="str">
        <v>문구</v>
      </c>
      <c r="C107" s="1" t="str">
        <v>0816166</v>
      </c>
      <c r="D107" s="1" t="str">
        <v>해밀</v>
      </c>
      <c r="E107" s="1" t="str">
        <v>IC0616600</v>
      </c>
      <c r="F107" s="1" t="str">
        <v>해밀 일반</v>
      </c>
      <c r="G107" s="1" t="str">
        <v>Y</v>
      </c>
    </row>
    <row r="108">
      <c r="A108" s="1">
        <v>37</v>
      </c>
      <c r="B108" s="1" t="str">
        <v>문구</v>
      </c>
      <c r="C108" s="1" t="str">
        <v>0816166</v>
      </c>
      <c r="D108" s="1" t="str">
        <v>해밀</v>
      </c>
      <c r="E108" s="1" t="str">
        <v>IC0616601</v>
      </c>
      <c r="F108" s="1" t="str">
        <v>해밀 정품</v>
      </c>
      <c r="G108" s="1" t="str">
        <v>N</v>
      </c>
    </row>
    <row r="109">
      <c r="A109" s="1">
        <v>37</v>
      </c>
      <c r="B109" s="1" t="str">
        <v>문구</v>
      </c>
      <c r="C109" s="1" t="str">
        <v>0816166</v>
      </c>
      <c r="D109" s="1" t="str">
        <v>해밀</v>
      </c>
      <c r="E109" s="1" t="str">
        <v>IC0616602</v>
      </c>
      <c r="F109" s="1" t="str">
        <v>해밀 베이직</v>
      </c>
      <c r="G109" s="1" t="str">
        <v>N</v>
      </c>
    </row>
    <row r="110">
      <c r="A110" s="1">
        <v>37</v>
      </c>
      <c r="B110" s="1" t="str">
        <v>문구</v>
      </c>
      <c r="C110" s="1" t="str">
        <v>0816166</v>
      </c>
      <c r="D110" s="1" t="str">
        <v>해밀</v>
      </c>
      <c r="E110" s="1" t="str">
        <v>IC0616603</v>
      </c>
      <c r="F110" s="1" t="str">
        <v>해밀 PB</v>
      </c>
      <c r="G110" s="1" t="str">
        <v>N</v>
      </c>
    </row>
    <row r="111">
      <c r="A111" s="1">
        <v>37</v>
      </c>
      <c r="B111" s="1" t="str">
        <v>문구</v>
      </c>
      <c r="C111" s="1" t="str">
        <v>0816166</v>
      </c>
      <c r="D111" s="1" t="str">
        <v>해밀</v>
      </c>
      <c r="E111" s="1" t="str">
        <v>IC0616604</v>
      </c>
      <c r="F111" s="1" t="str">
        <v>해밀 리미티드</v>
      </c>
      <c r="G111" s="1" t="str">
        <v>N</v>
      </c>
    </row>
    <row r="112">
      <c r="A112" s="1">
        <v>38</v>
      </c>
      <c r="B112" s="1" t="str">
        <v>문구</v>
      </c>
      <c r="C112" s="1" t="str">
        <v>0807481</v>
      </c>
      <c r="D112" s="1" t="str">
        <v>골드디자인</v>
      </c>
      <c r="E112" s="1" t="str">
        <v>IC0748100</v>
      </c>
      <c r="F112" s="1" t="str">
        <v>골드디자인 일반</v>
      </c>
      <c r="G112" s="1" t="str">
        <v>Y</v>
      </c>
    </row>
    <row r="113">
      <c r="A113" s="1">
        <v>38</v>
      </c>
      <c r="B113" s="1" t="str">
        <v>문구</v>
      </c>
      <c r="C113" s="1" t="str">
        <v>0807481</v>
      </c>
      <c r="D113" s="1" t="str">
        <v>골드디자인</v>
      </c>
      <c r="E113" s="1" t="str">
        <v>IC0748101</v>
      </c>
      <c r="F113" s="1" t="str">
        <v>골드디자인 리미티드</v>
      </c>
      <c r="G113" s="1" t="str">
        <v>N</v>
      </c>
    </row>
    <row r="114">
      <c r="A114" s="1">
        <v>38</v>
      </c>
      <c r="B114" s="1" t="str">
        <v>문구</v>
      </c>
      <c r="C114" s="1" t="str">
        <v>0807481</v>
      </c>
      <c r="D114" s="1" t="str">
        <v>골드디자인</v>
      </c>
      <c r="E114" s="1" t="str">
        <v>IC0748102</v>
      </c>
      <c r="F114" s="1" t="str">
        <v>골드디자인 기획전</v>
      </c>
      <c r="G114" s="1" t="str">
        <v>N</v>
      </c>
    </row>
    <row r="115">
      <c r="A115" s="1">
        <v>38</v>
      </c>
      <c r="B115" s="1" t="str">
        <v>문구</v>
      </c>
      <c r="C115" s="1" t="str">
        <v>0807481</v>
      </c>
      <c r="D115" s="1" t="str">
        <v>골드디자인</v>
      </c>
      <c r="E115" s="1" t="str">
        <v>IC0748103</v>
      </c>
      <c r="F115" s="1" t="str">
        <v>골드디자인 증정</v>
      </c>
      <c r="G115" s="1" t="str">
        <v>N</v>
      </c>
    </row>
    <row r="116">
      <c r="A116" s="1">
        <v>38</v>
      </c>
      <c r="B116" s="1" t="str">
        <v>문구</v>
      </c>
      <c r="C116" s="1" t="str">
        <v>0807481</v>
      </c>
      <c r="D116" s="1" t="str">
        <v>골드디자인</v>
      </c>
      <c r="E116" s="1" t="str">
        <v>IC0748104</v>
      </c>
      <c r="F116" s="1" t="str">
        <v>골드디자인 대표상품</v>
      </c>
      <c r="G116" s="1" t="str">
        <v>N</v>
      </c>
    </row>
    <row r="117">
      <c r="A117" s="1">
        <v>39</v>
      </c>
      <c r="B117" s="1" t="str">
        <v>문구</v>
      </c>
      <c r="C117" s="1" t="str">
        <v>0800334</v>
      </c>
      <c r="D117" s="1" t="str">
        <v>아이비스코리아</v>
      </c>
      <c r="E117" s="1" t="str">
        <v>IC0033400</v>
      </c>
      <c r="F117" s="1" t="str">
        <v>아이비스코리아 일반</v>
      </c>
      <c r="G117" s="1" t="str">
        <v>Y</v>
      </c>
    </row>
    <row r="118">
      <c r="A118" s="1">
        <v>39</v>
      </c>
      <c r="B118" s="1" t="str">
        <v>문구</v>
      </c>
      <c r="C118" s="1" t="str">
        <v>0800334</v>
      </c>
      <c r="D118" s="1" t="str">
        <v>아이비스코리아</v>
      </c>
      <c r="E118" s="1" t="str">
        <v>IC0033401</v>
      </c>
      <c r="F118" s="1" t="str">
        <v>아이비스코리아 PB</v>
      </c>
      <c r="G118" s="1" t="str">
        <v>N</v>
      </c>
    </row>
    <row r="119">
      <c r="A119" s="1">
        <v>39</v>
      </c>
      <c r="B119" s="1" t="str">
        <v>문구</v>
      </c>
      <c r="C119" s="1" t="str">
        <v>0800334</v>
      </c>
      <c r="D119" s="1" t="str">
        <v>아이비스코리아</v>
      </c>
      <c r="E119" s="1" t="str">
        <v>IC0033402</v>
      </c>
      <c r="F119" s="1" t="str">
        <v>아이비스코리아 리미티드</v>
      </c>
      <c r="G119" s="1" t="str">
        <v>N</v>
      </c>
    </row>
    <row r="120">
      <c r="A120" s="1">
        <v>39</v>
      </c>
      <c r="B120" s="1" t="str">
        <v>문구</v>
      </c>
      <c r="C120" s="1" t="str">
        <v>0800334</v>
      </c>
      <c r="D120" s="1" t="str">
        <v>아이비스코리아</v>
      </c>
      <c r="E120" s="1" t="str">
        <v>IC0033403</v>
      </c>
      <c r="F120" s="1" t="str">
        <v>아이비스코리아 기획전</v>
      </c>
      <c r="G120" s="1" t="str">
        <v>N</v>
      </c>
    </row>
    <row r="121">
      <c r="A121" s="1">
        <v>39</v>
      </c>
      <c r="B121" s="1" t="str">
        <v>문구</v>
      </c>
      <c r="C121" s="1" t="str">
        <v>0800334</v>
      </c>
      <c r="D121" s="1" t="str">
        <v>아이비스코리아</v>
      </c>
      <c r="E121" s="1" t="str">
        <v>IC0033404</v>
      </c>
      <c r="F121" s="1" t="str">
        <v>아이비스코리아 증정</v>
      </c>
      <c r="G121" s="1" t="str">
        <v>N</v>
      </c>
    </row>
    <row r="122">
      <c r="A122" s="1">
        <v>40</v>
      </c>
      <c r="B122" s="1" t="str">
        <v>문구</v>
      </c>
      <c r="C122" s="1" t="str">
        <v>0803080</v>
      </c>
      <c r="D122" s="1" t="str">
        <v>위드에버상사</v>
      </c>
      <c r="E122" s="1" t="str">
        <v>IC0308000</v>
      </c>
      <c r="F122" s="1" t="str">
        <v>위드에버상사 일반</v>
      </c>
      <c r="G122" s="1" t="str">
        <v>Y</v>
      </c>
    </row>
    <row r="123">
      <c r="A123" s="1">
        <v>41</v>
      </c>
      <c r="B123" s="1" t="str">
        <v>음반</v>
      </c>
      <c r="C123" s="1" t="str">
        <v>01B0470</v>
      </c>
      <c r="D123" s="1" t="str">
        <v>드림어스컴퍼니</v>
      </c>
      <c r="E123" s="1" t="str">
        <v>IB0047000</v>
      </c>
      <c r="F123" s="1" t="str">
        <v>드림어스컴퍼니 일반</v>
      </c>
      <c r="G123" s="1" t="str">
        <v>Y</v>
      </c>
    </row>
    <row r="124">
      <c r="A124" s="1">
        <v>41</v>
      </c>
      <c r="B124" s="1" t="str">
        <v>음반</v>
      </c>
      <c r="C124" s="1" t="str">
        <v>01B0470</v>
      </c>
      <c r="D124" s="1" t="str">
        <v>드림어스컴퍼니</v>
      </c>
      <c r="E124" s="1" t="str">
        <v>IB0047001</v>
      </c>
      <c r="F124" s="1" t="str">
        <v>드림어스컴퍼니 해외음반</v>
      </c>
      <c r="G124" s="1" t="str">
        <v>N</v>
      </c>
    </row>
    <row r="125">
      <c r="A125" s="1">
        <v>42</v>
      </c>
      <c r="B125" s="1" t="str">
        <v>음반</v>
      </c>
      <c r="C125" s="1" t="str">
        <v>01B0478</v>
      </c>
      <c r="D125" s="1" t="str">
        <v>와이지플러스</v>
      </c>
      <c r="E125" s="1" t="str">
        <v>IB0047800</v>
      </c>
      <c r="F125" s="1" t="str">
        <v>와이지플러스 일반</v>
      </c>
      <c r="G125" s="1" t="str">
        <v>Y</v>
      </c>
    </row>
    <row r="126">
      <c r="A126" s="1">
        <v>42</v>
      </c>
      <c r="B126" s="1" t="str">
        <v>음반</v>
      </c>
      <c r="C126" s="1" t="str">
        <v>01B0478</v>
      </c>
      <c r="D126" s="1" t="str">
        <v>와이지플러스</v>
      </c>
      <c r="E126" s="1" t="str">
        <v>IB0047801</v>
      </c>
      <c r="F126" s="1" t="str">
        <v>와이지플러스 KPOP</v>
      </c>
      <c r="G126" s="1" t="str">
        <v>N</v>
      </c>
    </row>
    <row r="127">
      <c r="A127" s="1">
        <v>42</v>
      </c>
      <c r="B127" s="1" t="str">
        <v>음반</v>
      </c>
      <c r="C127" s="1" t="str">
        <v>01B0478</v>
      </c>
      <c r="D127" s="1" t="str">
        <v>와이지플러스</v>
      </c>
      <c r="E127" s="1" t="str">
        <v>IB0047802</v>
      </c>
      <c r="F127" s="1" t="str">
        <v>와이지플러스 해외음반</v>
      </c>
      <c r="G127" s="1" t="str">
        <v>N</v>
      </c>
    </row>
    <row r="128">
      <c r="A128" s="1">
        <v>42</v>
      </c>
      <c r="B128" s="1" t="str">
        <v>음반</v>
      </c>
      <c r="C128" s="1" t="str">
        <v>01B0478</v>
      </c>
      <c r="D128" s="1" t="str">
        <v>와이지플러스</v>
      </c>
      <c r="E128" s="1" t="str">
        <v>IB0047803</v>
      </c>
      <c r="F128" s="1" t="str">
        <v>와이지플러스 음반</v>
      </c>
      <c r="G128" s="1" t="str">
        <v>N</v>
      </c>
    </row>
    <row r="129">
      <c r="A129" s="1">
        <v>43</v>
      </c>
      <c r="B129" s="1" t="str">
        <v>음반</v>
      </c>
      <c r="C129" s="1" t="str">
        <v>01B0504</v>
      </c>
      <c r="D129" s="1" t="str">
        <v>카카오엔터테인먼트</v>
      </c>
      <c r="E129" s="1" t="str">
        <v>IB0050400</v>
      </c>
      <c r="F129" s="1" t="str">
        <v>카카오엔터테인먼트 일반</v>
      </c>
      <c r="G129" s="1" t="str">
        <v>Y</v>
      </c>
    </row>
    <row r="130">
      <c r="A130" s="1">
        <v>43</v>
      </c>
      <c r="B130" s="1" t="str">
        <v>음반</v>
      </c>
      <c r="C130" s="1" t="str">
        <v>01B0504</v>
      </c>
      <c r="D130" s="1" t="str">
        <v>카카오엔터테인먼트</v>
      </c>
      <c r="E130" s="1" t="str">
        <v>IB0050401</v>
      </c>
      <c r="F130" s="1" t="str">
        <v>카카오엔터테인먼트 음반</v>
      </c>
      <c r="G130" s="1" t="str">
        <v>N</v>
      </c>
    </row>
    <row r="131">
      <c r="A131" s="1">
        <v>43</v>
      </c>
      <c r="B131" s="1" t="str">
        <v>음반</v>
      </c>
      <c r="C131" s="1" t="str">
        <v>01B0504</v>
      </c>
      <c r="D131" s="1" t="str">
        <v>카카오엔터테인먼트</v>
      </c>
      <c r="E131" s="1" t="str">
        <v>IB0050402</v>
      </c>
      <c r="F131" s="1" t="str">
        <v>카카오엔터테인먼트 KPOP</v>
      </c>
      <c r="G131" s="1" t="str">
        <v>N</v>
      </c>
    </row>
    <row r="132">
      <c r="A132" s="1">
        <v>43</v>
      </c>
      <c r="B132" s="1" t="str">
        <v>음반</v>
      </c>
      <c r="C132" s="1" t="str">
        <v>01B0504</v>
      </c>
      <c r="D132" s="1" t="str">
        <v>카카오엔터테인먼트</v>
      </c>
      <c r="E132" s="1" t="str">
        <v>IB0050403</v>
      </c>
      <c r="F132" s="1" t="str">
        <v>카카오엔터테인먼트 해외음반</v>
      </c>
      <c r="G132" s="1" t="str">
        <v>N</v>
      </c>
    </row>
    <row r="133">
      <c r="A133" s="1">
        <v>44</v>
      </c>
      <c r="B133" s="1" t="str">
        <v>특정매입</v>
      </c>
      <c r="C133" s="1" t="str">
        <v>0803124</v>
      </c>
      <c r="D133" s="1" t="str">
        <v>아톰상사(특정매입)</v>
      </c>
      <c r="E133" s="1" t="str">
        <v>IC0312400</v>
      </c>
      <c r="F133" s="1" t="str">
        <v>아톰상사(특정매입) 일반</v>
      </c>
      <c r="G133" s="1" t="str">
        <v>Y</v>
      </c>
    </row>
    <row r="134">
      <c r="A134" s="1">
        <v>44</v>
      </c>
      <c r="B134" s="1" t="str">
        <v>특정매입</v>
      </c>
      <c r="C134" s="1" t="str">
        <v>0803124</v>
      </c>
      <c r="D134" s="1" t="str">
        <v>아톰상사(특정매입)</v>
      </c>
      <c r="E134" s="1" t="str">
        <v>IC0312401</v>
      </c>
      <c r="F134" s="1" t="str">
        <v>아톰상사(특정매입) 특정매입</v>
      </c>
      <c r="G134" s="1" t="str">
        <v>N</v>
      </c>
    </row>
    <row r="135">
      <c r="A135" s="1">
        <v>44</v>
      </c>
      <c r="B135" s="1" t="str">
        <v>특정매입</v>
      </c>
      <c r="C135" s="1" t="str">
        <v>0803124</v>
      </c>
      <c r="D135" s="1" t="str">
        <v>아톰상사(특정매입)</v>
      </c>
      <c r="E135" s="1" t="str">
        <v>IC0312402</v>
      </c>
      <c r="F135" s="1" t="str">
        <v>아톰상사(특정매입) 시즌특가</v>
      </c>
      <c r="G135" s="1" t="str">
        <v>N</v>
      </c>
    </row>
    <row r="136">
      <c r="A136" s="1">
        <v>45</v>
      </c>
      <c r="B136" s="1" t="str">
        <v>특정매입</v>
      </c>
      <c r="C136" s="1" t="str">
        <v>0803833</v>
      </c>
      <c r="D136" s="1" t="str">
        <v>모나미(특정매입)</v>
      </c>
      <c r="E136" s="1" t="str">
        <v>IC0383300</v>
      </c>
      <c r="F136" s="1" t="str">
        <v>모나미(특정매입) 일반</v>
      </c>
      <c r="G136" s="1" t="str">
        <v>Y</v>
      </c>
    </row>
    <row r="137">
      <c r="A137" s="1">
        <v>45</v>
      </c>
      <c r="B137" s="1" t="str">
        <v>특정매입</v>
      </c>
      <c r="C137" s="1" t="str">
        <v>0803833</v>
      </c>
      <c r="D137" s="1" t="str">
        <v>모나미(특정매입)</v>
      </c>
      <c r="E137" s="1" t="str">
        <v>IC0383301</v>
      </c>
      <c r="F137" s="1" t="str">
        <v>모나미(특정매입) 시즌특가</v>
      </c>
      <c r="G137" s="1" t="str">
        <v>N</v>
      </c>
    </row>
    <row r="138">
      <c r="A138" s="1">
        <v>46</v>
      </c>
      <c r="B138" s="1" t="str">
        <v>해외문구</v>
      </c>
      <c r="C138" s="1" t="str">
        <v>0900216</v>
      </c>
      <c r="D138" s="1" t="str">
        <v>LEUCHTTURM</v>
      </c>
      <c r="E138" s="1" t="str">
        <v>IC0021600</v>
      </c>
      <c r="F138" s="1" t="str">
        <v>LEUCHTTURM 일반</v>
      </c>
      <c r="G138" s="1" t="str">
        <v>Y</v>
      </c>
    </row>
    <row r="139">
      <c r="A139" s="1">
        <v>46</v>
      </c>
      <c r="B139" s="1" t="str">
        <v>해외문구</v>
      </c>
      <c r="C139" s="1" t="str">
        <v>0900216</v>
      </c>
      <c r="D139" s="1" t="str">
        <v>LEUCHTTURM</v>
      </c>
      <c r="E139" s="1" t="str">
        <v>IC0021601</v>
      </c>
      <c r="F139" s="1" t="str">
        <v>LEUCHTTURM 증정</v>
      </c>
      <c r="G139" s="1" t="str">
        <v>N</v>
      </c>
    </row>
    <row r="140">
      <c r="A140" s="1">
        <v>46</v>
      </c>
      <c r="B140" s="1" t="str">
        <v>해외문구</v>
      </c>
      <c r="C140" s="1" t="str">
        <v>0900216</v>
      </c>
      <c r="D140" s="1" t="str">
        <v>LEUCHTTURM</v>
      </c>
      <c r="E140" s="1" t="str">
        <v>IC0021602</v>
      </c>
      <c r="F140" s="1" t="str">
        <v>LEUCHTTURM 대표상품</v>
      </c>
      <c r="G140" s="1" t="str">
        <v>N</v>
      </c>
    </row>
    <row r="141">
      <c r="A141" s="1">
        <v>46</v>
      </c>
      <c r="B141" s="1" t="str">
        <v>해외문구</v>
      </c>
      <c r="C141" s="1" t="str">
        <v>0900216</v>
      </c>
      <c r="D141" s="1" t="str">
        <v>LEUCHTTURM</v>
      </c>
      <c r="E141" s="1" t="str">
        <v>IC0021603</v>
      </c>
      <c r="F141" s="1" t="str">
        <v>LEUCHTTURM 특가</v>
      </c>
      <c r="G141" s="1" t="str">
        <v>N</v>
      </c>
    </row>
    <row r="142">
      <c r="A142" s="1">
        <v>46</v>
      </c>
      <c r="B142" s="1" t="str">
        <v>해외문구</v>
      </c>
      <c r="C142" s="1" t="str">
        <v>0900216</v>
      </c>
      <c r="D142" s="1" t="str">
        <v>LEUCHTTURM</v>
      </c>
      <c r="E142" s="1" t="str">
        <v>IC0021604</v>
      </c>
      <c r="F142" s="1" t="str">
        <v>LEUCHTTURM 문구행사</v>
      </c>
      <c r="G142" s="1" t="str">
        <v>N</v>
      </c>
    </row>
    <row r="143">
      <c r="A143" s="1">
        <v>47</v>
      </c>
      <c r="B143" s="1" t="str">
        <v>해외문구</v>
      </c>
      <c r="C143" s="1" t="str">
        <v>0900224</v>
      </c>
      <c r="D143" s="1" t="str">
        <v>LIHIT LAB.,INC</v>
      </c>
      <c r="E143" s="1" t="str">
        <v>IC0022400</v>
      </c>
      <c r="F143" s="1" t="str">
        <v>LIHIT LAB.,INC 일반</v>
      </c>
      <c r="G143" s="1" t="str">
        <v>Y</v>
      </c>
    </row>
    <row r="144">
      <c r="A144" s="1">
        <v>47</v>
      </c>
      <c r="B144" s="1" t="str">
        <v>해외문구</v>
      </c>
      <c r="C144" s="1" t="str">
        <v>0900224</v>
      </c>
      <c r="D144" s="1" t="str">
        <v>LIHIT LAB.,INC</v>
      </c>
      <c r="E144" s="1" t="str">
        <v>IC0022401</v>
      </c>
      <c r="F144" s="1" t="str">
        <v>LIHIT LAB.,INC 베이직</v>
      </c>
      <c r="G144" s="1" t="str">
        <v>N</v>
      </c>
    </row>
    <row r="145">
      <c r="A145" s="1">
        <v>47</v>
      </c>
      <c r="B145" s="1" t="str">
        <v>해외문구</v>
      </c>
      <c r="C145" s="1" t="str">
        <v>0900224</v>
      </c>
      <c r="D145" s="1" t="str">
        <v>LIHIT LAB.,INC</v>
      </c>
      <c r="E145" s="1" t="str">
        <v>IC0022402</v>
      </c>
      <c r="F145" s="1" t="str">
        <v>LIHIT LAB.,INC PB</v>
      </c>
      <c r="G145" s="1" t="str">
        <v>N</v>
      </c>
    </row>
    <row r="146">
      <c r="A146" s="1">
        <v>47</v>
      </c>
      <c r="B146" s="1" t="str">
        <v>해외문구</v>
      </c>
      <c r="C146" s="1" t="str">
        <v>0900224</v>
      </c>
      <c r="D146" s="1" t="str">
        <v>LIHIT LAB.,INC</v>
      </c>
      <c r="E146" s="1" t="str">
        <v>IC0022403</v>
      </c>
      <c r="F146" s="1" t="str">
        <v>LIHIT LAB.,INC 리미티드</v>
      </c>
      <c r="G146" s="1" t="str">
        <v>N</v>
      </c>
    </row>
    <row r="147">
      <c r="A147" s="1">
        <v>48</v>
      </c>
      <c r="B147" s="1" t="str">
        <v>해외문구</v>
      </c>
      <c r="C147" s="1" t="str">
        <v>0900252</v>
      </c>
      <c r="D147" s="1" t="str">
        <v>HIGHTIDE CO.,LTD</v>
      </c>
      <c r="E147" s="1" t="str">
        <v>IC0025200</v>
      </c>
      <c r="F147" s="1" t="str">
        <v>HIGHTIDE CO.,LTD 일반</v>
      </c>
      <c r="G147" s="1" t="str">
        <v>Y</v>
      </c>
    </row>
    <row r="148">
      <c r="A148" s="1">
        <v>48</v>
      </c>
      <c r="B148" s="1" t="str">
        <v>해외문구</v>
      </c>
      <c r="C148" s="1" t="str">
        <v>0900252</v>
      </c>
      <c r="D148" s="1" t="str">
        <v>HIGHTIDE CO.,LTD</v>
      </c>
      <c r="E148" s="1" t="str">
        <v>IC0025201</v>
      </c>
      <c r="F148" s="1" t="str">
        <v>HIGHTIDE CO.,LTD 문구행사</v>
      </c>
      <c r="G148" s="1" t="str">
        <v>N</v>
      </c>
    </row>
    <row r="149">
      <c r="A149" s="1">
        <v>48</v>
      </c>
      <c r="B149" s="1" t="str">
        <v>해외문구</v>
      </c>
      <c r="C149" s="1" t="str">
        <v>0900252</v>
      </c>
      <c r="D149" s="1" t="str">
        <v>HIGHTIDE CO.,LTD</v>
      </c>
      <c r="E149" s="1" t="str">
        <v>IC0025202</v>
      </c>
      <c r="F149" s="1" t="str">
        <v>HIGHTIDE CO.,LTD 정품</v>
      </c>
      <c r="G149" s="1" t="str">
        <v>N</v>
      </c>
    </row>
    <row r="150">
      <c r="A150" s="1">
        <v>48</v>
      </c>
      <c r="B150" s="1" t="str">
        <v>해외문구</v>
      </c>
      <c r="C150" s="1" t="str">
        <v>0900252</v>
      </c>
      <c r="D150" s="1" t="str">
        <v>HIGHTIDE CO.,LTD</v>
      </c>
      <c r="E150" s="1" t="str">
        <v>IC0025203</v>
      </c>
      <c r="F150" s="1" t="str">
        <v>HIGHTIDE CO.,LTD 베이직</v>
      </c>
      <c r="G150" s="1" t="str">
        <v>N</v>
      </c>
    </row>
    <row r="151">
      <c r="A151" s="1">
        <v>48</v>
      </c>
      <c r="B151" s="1" t="str">
        <v>해외문구</v>
      </c>
      <c r="C151" s="1" t="str">
        <v>0900252</v>
      </c>
      <c r="D151" s="1" t="str">
        <v>HIGHTIDE CO.,LTD</v>
      </c>
      <c r="E151" s="1" t="str">
        <v>IC0025204</v>
      </c>
      <c r="F151" s="1" t="str">
        <v>HIGHTIDE CO.,LTD PB</v>
      </c>
      <c r="G151" s="1" t="str">
        <v>N</v>
      </c>
    </row>
  </sheetData>
  <ignoredErrors>
    <ignoredError numberStoredAsText="1" sqref="A1:G1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50"/>
  <sheetViews>
    <sheetView workbookViewId="0" rightToLeft="0"/>
  </sheetViews>
  <sheetData>
    <row r="1" xml:space="preserve">
      <c r="A1" s="1" t="str">
        <v>No</v>
      </c>
      <c r="B1" s="1" t="str">
        <v>매입처코드</v>
      </c>
      <c r="C1" s="1" t="str">
        <v>매입처명</v>
      </c>
      <c r="D1" s="1" t="str">
        <v>구분</v>
      </c>
      <c r="E1" s="1" t="str" xml:space="preserve">
        <v xml:space="preserve">광화문점
매출</v>
      </c>
      <c r="F1" s="1" t="str" xml:space="preserve">
        <v xml:space="preserve">광화문점
매출제외</v>
      </c>
      <c r="G1" s="1" t="str" xml:space="preserve">
        <v xml:space="preserve">강남점
매출</v>
      </c>
      <c r="H1" s="1" t="str" xml:space="preserve">
        <v xml:space="preserve">강남점
매출제외</v>
      </c>
      <c r="I1" s="1" t="str" xml:space="preserve">
        <v xml:space="preserve">잠실점
매출</v>
      </c>
      <c r="J1" s="1" t="str" xml:space="preserve">
        <v xml:space="preserve">잠실점
매출제외</v>
      </c>
      <c r="K1" s="1" t="str" xml:space="preserve">
        <v xml:space="preserve">부산점
매출</v>
      </c>
      <c r="L1" s="1" t="str" xml:space="preserve">
        <v xml:space="preserve">부산점
매출제외</v>
      </c>
      <c r="M1" s="1" t="str" xml:space="preserve">
        <v xml:space="preserve">창원점
매출</v>
      </c>
      <c r="N1" s="1" t="str" xml:space="preserve">
        <v xml:space="preserve">창원점
매출제외</v>
      </c>
      <c r="O1" s="1" t="str">
        <v>전점 합계</v>
      </c>
    </row>
    <row r="2">
      <c r="A2" s="1">
        <v>1</v>
      </c>
      <c r="B2" s="1" t="str">
        <v>0803741</v>
      </c>
      <c r="C2" s="1" t="str">
        <v>BST</v>
      </c>
      <c r="D2" s="1" t="str">
        <v>문구</v>
      </c>
      <c r="E2" s="1">
        <v>3030000</v>
      </c>
      <c r="G2" s="1">
        <v>3940000</v>
      </c>
      <c r="I2" s="1">
        <v>970000</v>
      </c>
      <c r="J2" s="1">
        <v>150000</v>
      </c>
      <c r="K2" s="1">
        <v>2710000</v>
      </c>
      <c r="M2" s="1">
        <v>790000</v>
      </c>
      <c r="O2" s="1">
        <f>E2+G2+I2+K2+M2</f>
        <v>11440000</v>
      </c>
    </row>
    <row r="3">
      <c r="A3" s="1">
        <v>2</v>
      </c>
      <c r="B3" s="1" t="str">
        <v>0803791</v>
      </c>
      <c r="C3" s="1" t="str">
        <v>공장</v>
      </c>
      <c r="D3" s="1" t="str">
        <v>문구</v>
      </c>
      <c r="E3" s="1">
        <v>2950000</v>
      </c>
      <c r="G3" s="1">
        <v>3890000</v>
      </c>
      <c r="I3" s="1">
        <v>1010000</v>
      </c>
      <c r="J3" s="1">
        <v>150000</v>
      </c>
      <c r="K3" s="1">
        <v>2670000</v>
      </c>
      <c r="M3" s="1">
        <v>810000</v>
      </c>
      <c r="O3" s="1">
        <f>E3+G3+I3+K3+M3</f>
        <v>11330000</v>
      </c>
    </row>
    <row r="4">
      <c r="A4" s="1">
        <v>3</v>
      </c>
      <c r="B4" s="1" t="str">
        <v>0816555</v>
      </c>
      <c r="C4" s="1" t="str">
        <v>냐냐온 스튜디오</v>
      </c>
      <c r="D4" s="1" t="str">
        <v>문구</v>
      </c>
      <c r="E4" s="1">
        <v>2520000</v>
      </c>
      <c r="G4" s="1">
        <v>3570000</v>
      </c>
      <c r="I4" s="1">
        <v>1200000</v>
      </c>
      <c r="K4" s="1">
        <v>2440000</v>
      </c>
      <c r="L4" s="1">
        <v>370000</v>
      </c>
      <c r="M4" s="1">
        <v>940000</v>
      </c>
      <c r="O4" s="1">
        <f>E4+G4+I4+K4+M4</f>
        <v>10670000</v>
      </c>
    </row>
    <row r="5">
      <c r="A5" s="1">
        <v>4</v>
      </c>
      <c r="B5" s="1" t="str">
        <v>0817528</v>
      </c>
      <c r="C5" s="1" t="str">
        <v>누크코퍼레이션</v>
      </c>
      <c r="D5" s="1" t="str">
        <v>문구</v>
      </c>
      <c r="E5" s="1">
        <v>2670000</v>
      </c>
      <c r="G5" s="1">
        <v>3680000</v>
      </c>
      <c r="I5" s="1">
        <v>1130000</v>
      </c>
      <c r="K5" s="1">
        <v>2520000</v>
      </c>
      <c r="M5" s="1">
        <v>900000</v>
      </c>
      <c r="O5" s="1">
        <f>E5+G5+I5+K5+M5</f>
        <v>10900000</v>
      </c>
    </row>
    <row r="6">
      <c r="A6" s="1">
        <v>5</v>
      </c>
      <c r="B6" s="1" t="str">
        <v>0807485</v>
      </c>
      <c r="C6" s="1" t="str">
        <v>대시앤도트</v>
      </c>
      <c r="D6" s="1" t="str">
        <v>문구</v>
      </c>
      <c r="E6" s="1">
        <v>4820000</v>
      </c>
      <c r="G6" s="1">
        <v>1540000</v>
      </c>
      <c r="I6" s="1">
        <v>2410000</v>
      </c>
      <c r="K6" s="1">
        <v>950000</v>
      </c>
      <c r="L6" s="1">
        <v>140000</v>
      </c>
      <c r="M6" s="1">
        <v>250000</v>
      </c>
      <c r="O6" s="1">
        <f>E6+G6+I6+K6+M6</f>
        <v>9970000</v>
      </c>
    </row>
    <row r="7">
      <c r="A7" s="1">
        <v>6</v>
      </c>
      <c r="B7" s="1" t="str">
        <v>0817625</v>
      </c>
      <c r="C7" s="1" t="str">
        <v>대인커머스</v>
      </c>
      <c r="D7" s="1" t="str">
        <v>문구</v>
      </c>
      <c r="E7" s="1">
        <v>2200000</v>
      </c>
      <c r="G7" s="1">
        <v>3320000</v>
      </c>
      <c r="I7" s="1">
        <v>1350000</v>
      </c>
      <c r="K7" s="1">
        <v>2260000</v>
      </c>
      <c r="L7" s="1">
        <v>340000</v>
      </c>
      <c r="M7" s="1">
        <v>1040000</v>
      </c>
      <c r="O7" s="1">
        <f>E7+G7+I7+K7+M7</f>
        <v>10170000</v>
      </c>
    </row>
    <row r="8">
      <c r="A8" s="1">
        <v>7</v>
      </c>
      <c r="B8" s="1" t="str">
        <v>0816903</v>
      </c>
      <c r="C8" s="1" t="str">
        <v>더시호</v>
      </c>
      <c r="D8" s="1" t="str">
        <v>문구</v>
      </c>
      <c r="E8" s="1">
        <v>680000</v>
      </c>
      <c r="F8" s="1">
        <v>100000</v>
      </c>
      <c r="G8" s="1">
        <v>2180000</v>
      </c>
      <c r="I8" s="1">
        <v>2030000</v>
      </c>
      <c r="K8" s="1">
        <v>1420000</v>
      </c>
      <c r="M8" s="1">
        <v>1490000</v>
      </c>
      <c r="O8" s="1">
        <f>E8+G8+I8+K8+M8</f>
        <v>7800000</v>
      </c>
    </row>
    <row r="9">
      <c r="A9" s="1">
        <v>8</v>
      </c>
      <c r="B9" s="1" t="str">
        <v>0818620</v>
      </c>
      <c r="C9" s="1" t="str">
        <v>더토브</v>
      </c>
      <c r="D9" s="1" t="str">
        <v>문구</v>
      </c>
      <c r="E9" s="1">
        <v>2300000</v>
      </c>
      <c r="G9" s="1">
        <v>3400000</v>
      </c>
      <c r="I9" s="1">
        <v>1300000</v>
      </c>
      <c r="K9" s="1">
        <v>2320000</v>
      </c>
      <c r="M9" s="1">
        <v>1010000</v>
      </c>
      <c r="O9" s="1">
        <f>E9+G9+I9+K9+M9</f>
        <v>10330000</v>
      </c>
    </row>
    <row r="10">
      <c r="A10" s="1">
        <v>9</v>
      </c>
      <c r="B10" s="1" t="str">
        <v>0817225</v>
      </c>
      <c r="C10" s="1" t="str">
        <v>도혜드로잉</v>
      </c>
      <c r="D10" s="1" t="str">
        <v>문구</v>
      </c>
      <c r="E10" s="1">
        <v>4120000</v>
      </c>
      <c r="G10" s="1">
        <v>1010000</v>
      </c>
      <c r="I10" s="1">
        <v>480000</v>
      </c>
      <c r="K10" s="1">
        <v>560000</v>
      </c>
      <c r="L10" s="1">
        <v>80000</v>
      </c>
      <c r="M10" s="1">
        <v>460000</v>
      </c>
      <c r="O10" s="1">
        <f>E10+G10+I10+K10+M10</f>
        <v>6630000</v>
      </c>
    </row>
    <row r="11">
      <c r="A11" s="1">
        <v>10</v>
      </c>
      <c r="B11" s="1" t="str">
        <v>0810456</v>
      </c>
      <c r="C11" s="1" t="str">
        <v>디앤에프조이필</v>
      </c>
      <c r="D11" s="1" t="str">
        <v>문구</v>
      </c>
      <c r="E11" s="1">
        <v>2380000</v>
      </c>
      <c r="G11" s="1">
        <v>3460000</v>
      </c>
      <c r="I11" s="1">
        <v>1260000</v>
      </c>
      <c r="K11" s="1">
        <v>2360000</v>
      </c>
      <c r="M11" s="1">
        <v>990000</v>
      </c>
      <c r="O11" s="1">
        <f>E11+G11+I11+K11+M11</f>
        <v>10450000</v>
      </c>
    </row>
    <row r="12">
      <c r="A12" s="1">
        <v>11</v>
      </c>
      <c r="B12" s="1" t="str">
        <v>0803503</v>
      </c>
      <c r="C12" s="1" t="str">
        <v>로마네</v>
      </c>
      <c r="D12" s="1" t="str">
        <v>문구</v>
      </c>
      <c r="E12" s="1">
        <v>4050000</v>
      </c>
      <c r="F12" s="1">
        <v>610000</v>
      </c>
      <c r="G12" s="1">
        <v>960000</v>
      </c>
      <c r="I12" s="1">
        <v>510000</v>
      </c>
      <c r="K12" s="1">
        <v>530000</v>
      </c>
      <c r="M12" s="1">
        <v>480000</v>
      </c>
      <c r="O12" s="1">
        <f>E12+G12+I12+K12+M12</f>
        <v>6530000</v>
      </c>
    </row>
    <row r="13">
      <c r="A13" s="1">
        <v>12</v>
      </c>
      <c r="B13" s="1" t="str">
        <v>0816525</v>
      </c>
      <c r="C13" s="1" t="str">
        <v>루카랩컴퍼니</v>
      </c>
      <c r="D13" s="1" t="str">
        <v>문구</v>
      </c>
      <c r="E13" s="1">
        <v>2570000</v>
      </c>
      <c r="G13" s="1">
        <v>3600000</v>
      </c>
      <c r="I13" s="1">
        <v>1180000</v>
      </c>
      <c r="K13" s="1">
        <v>2460000</v>
      </c>
      <c r="L13" s="1">
        <v>370000</v>
      </c>
      <c r="M13" s="1">
        <v>930000</v>
      </c>
      <c r="O13" s="1">
        <f>E13+G13+I13+K13+M13</f>
        <v>10740000</v>
      </c>
    </row>
    <row r="14">
      <c r="A14" s="1">
        <v>13</v>
      </c>
      <c r="B14" s="1" t="str">
        <v>0812988</v>
      </c>
      <c r="C14" s="1" t="str">
        <v>모트모트</v>
      </c>
      <c r="D14" s="1" t="str">
        <v>문구</v>
      </c>
      <c r="E14" s="1">
        <v>5140000</v>
      </c>
      <c r="G14" s="1">
        <v>1780000</v>
      </c>
      <c r="I14" s="1">
        <v>2270000</v>
      </c>
      <c r="K14" s="1">
        <v>1120000</v>
      </c>
      <c r="M14" s="1">
        <v>160000</v>
      </c>
      <c r="O14" s="1">
        <f>E14+G14+I14+K14+M14</f>
        <v>10470000</v>
      </c>
    </row>
    <row r="15">
      <c r="A15" s="1">
        <v>14</v>
      </c>
      <c r="B15" s="1" t="str">
        <v>0811795</v>
      </c>
      <c r="C15" s="1" t="str">
        <v>베르제마넷</v>
      </c>
      <c r="D15" s="1" t="str">
        <v>문구</v>
      </c>
      <c r="E15" s="1">
        <v>980000</v>
      </c>
      <c r="G15" s="1">
        <v>2410000</v>
      </c>
      <c r="I15" s="1">
        <v>1890000</v>
      </c>
      <c r="K15" s="1">
        <v>1590000</v>
      </c>
      <c r="L15" s="1">
        <v>240000</v>
      </c>
      <c r="M15" s="1">
        <v>1410000</v>
      </c>
      <c r="O15" s="1">
        <f>E15+G15+I15+K15+M15</f>
        <v>8280000</v>
      </c>
    </row>
    <row r="16">
      <c r="A16" s="1">
        <v>15</v>
      </c>
      <c r="B16" s="1" t="str">
        <v>0817604</v>
      </c>
      <c r="C16" s="1" t="str">
        <v>비온뒤</v>
      </c>
      <c r="D16" s="1" t="str">
        <v>문구</v>
      </c>
      <c r="E16" s="1">
        <v>2230000</v>
      </c>
      <c r="G16" s="1">
        <v>3340000</v>
      </c>
      <c r="I16" s="1">
        <v>1330000</v>
      </c>
      <c r="K16" s="1">
        <v>2270000</v>
      </c>
      <c r="M16" s="1">
        <v>1030000</v>
      </c>
      <c r="O16" s="1">
        <f>E16+G16+I16+K16+M16</f>
        <v>10200000</v>
      </c>
    </row>
    <row r="17">
      <c r="A17" s="1">
        <v>16</v>
      </c>
      <c r="B17" s="1" t="str">
        <v>0803289</v>
      </c>
      <c r="C17" s="1" t="str">
        <v>솜씨스템프</v>
      </c>
      <c r="D17" s="1" t="str">
        <v>문구</v>
      </c>
      <c r="E17" s="1">
        <v>5360000</v>
      </c>
      <c r="G17" s="1">
        <v>1950000</v>
      </c>
      <c r="I17" s="1">
        <v>2170000</v>
      </c>
      <c r="K17" s="1">
        <v>1250000</v>
      </c>
      <c r="M17" s="1">
        <v>1590000</v>
      </c>
      <c r="O17" s="1">
        <f>E17+G17+I17+K17+M17</f>
        <v>12320000</v>
      </c>
    </row>
    <row r="18">
      <c r="A18" s="1">
        <v>17</v>
      </c>
      <c r="B18" s="1" t="str">
        <v>0803222</v>
      </c>
      <c r="C18" s="1" t="str">
        <v>아르디움</v>
      </c>
      <c r="D18" s="1" t="str">
        <v>문구</v>
      </c>
      <c r="E18" s="1">
        <v>5460000</v>
      </c>
      <c r="G18" s="1">
        <v>2020000</v>
      </c>
      <c r="H18" s="1">
        <v>300000</v>
      </c>
      <c r="I18" s="1">
        <v>2130000</v>
      </c>
      <c r="K18" s="1">
        <v>1300000</v>
      </c>
      <c r="M18" s="1">
        <v>1560000</v>
      </c>
      <c r="N18" s="1">
        <v>230000</v>
      </c>
      <c r="O18" s="1">
        <f>E18+G18+I18+K18+M18</f>
        <v>12470000</v>
      </c>
    </row>
    <row r="19">
      <c r="A19" s="1">
        <v>18</v>
      </c>
      <c r="B19" s="1" t="str">
        <v>0803186</v>
      </c>
      <c r="C19" s="1" t="str">
        <v>아이코닉</v>
      </c>
      <c r="D19" s="1" t="str">
        <v>문구</v>
      </c>
      <c r="E19" s="1">
        <v>850000</v>
      </c>
      <c r="G19" s="1">
        <v>2310000</v>
      </c>
      <c r="I19" s="1">
        <v>1950000</v>
      </c>
      <c r="K19" s="1">
        <v>1510000</v>
      </c>
      <c r="M19" s="1">
        <v>1450000</v>
      </c>
      <c r="O19" s="1">
        <f>E19+G19+I19+K19+M19</f>
        <v>8070000</v>
      </c>
    </row>
    <row r="20">
      <c r="A20" s="1">
        <v>19</v>
      </c>
      <c r="B20" s="1" t="str">
        <v>0803159</v>
      </c>
      <c r="C20" s="1" t="str">
        <v>안테나샵</v>
      </c>
      <c r="D20" s="1" t="str">
        <v>문구</v>
      </c>
      <c r="E20" s="1">
        <v>890000</v>
      </c>
      <c r="G20" s="1">
        <v>2340000</v>
      </c>
      <c r="I20" s="1">
        <v>1930000</v>
      </c>
      <c r="K20" s="1">
        <v>1540000</v>
      </c>
      <c r="M20" s="1">
        <v>1430000</v>
      </c>
      <c r="O20" s="1">
        <f>E20+G20+I20+K20+M20</f>
        <v>8130000</v>
      </c>
    </row>
    <row r="21">
      <c r="A21" s="1">
        <v>20</v>
      </c>
      <c r="B21" s="1" t="str">
        <v>0803303</v>
      </c>
      <c r="C21" s="1" t="str">
        <v>이투컬렉션</v>
      </c>
      <c r="D21" s="1" t="str">
        <v>문구</v>
      </c>
      <c r="E21" s="1">
        <v>5010000</v>
      </c>
      <c r="F21" s="1">
        <v>750000</v>
      </c>
      <c r="G21" s="1">
        <v>1680000</v>
      </c>
      <c r="I21" s="1">
        <v>2330000</v>
      </c>
      <c r="K21" s="1">
        <v>1060000</v>
      </c>
      <c r="M21" s="1">
        <v>200000</v>
      </c>
      <c r="O21" s="1">
        <f>E21+G21+I21+K21+M21</f>
        <v>10280000</v>
      </c>
    </row>
    <row r="22">
      <c r="A22" s="1">
        <v>21</v>
      </c>
      <c r="B22" s="1" t="str">
        <v>0803690</v>
      </c>
      <c r="C22" s="1" t="str">
        <v>인디고</v>
      </c>
      <c r="D22" s="1" t="str">
        <v>문구</v>
      </c>
      <c r="E22" s="1">
        <v>3430000</v>
      </c>
      <c r="G22" s="1">
        <v>500000</v>
      </c>
      <c r="I22" s="1">
        <v>790000</v>
      </c>
      <c r="K22" s="1">
        <v>2940000</v>
      </c>
      <c r="M22" s="1">
        <v>670000</v>
      </c>
      <c r="O22" s="1">
        <f>E22+G22+I22+K22+M22</f>
        <v>8330000</v>
      </c>
    </row>
    <row r="23">
      <c r="A23" s="1">
        <v>22</v>
      </c>
      <c r="B23" s="1" t="str">
        <v>0803825</v>
      </c>
      <c r="C23" s="1" t="str">
        <v>정인통상</v>
      </c>
      <c r="D23" s="1" t="str">
        <v>문구</v>
      </c>
      <c r="E23" s="1">
        <v>2580000</v>
      </c>
      <c r="G23" s="1">
        <v>3610000</v>
      </c>
      <c r="I23" s="1">
        <v>1170000</v>
      </c>
      <c r="K23" s="1">
        <v>2470000</v>
      </c>
      <c r="L23" s="1">
        <v>370000</v>
      </c>
      <c r="M23" s="1">
        <v>930000</v>
      </c>
      <c r="O23" s="1">
        <f>E23+G23+I23+K23+M23</f>
        <v>10760000</v>
      </c>
    </row>
    <row r="24">
      <c r="A24" s="1">
        <v>23</v>
      </c>
      <c r="B24" s="1" t="str">
        <v>0803187</v>
      </c>
      <c r="C24" s="1" t="str">
        <v>칠삼이일디자인</v>
      </c>
      <c r="D24" s="1" t="str">
        <v>문구</v>
      </c>
      <c r="E24" s="1">
        <v>850000</v>
      </c>
      <c r="G24" s="1">
        <v>2310000</v>
      </c>
      <c r="I24" s="1">
        <v>1950000</v>
      </c>
      <c r="K24" s="1">
        <v>1510000</v>
      </c>
      <c r="M24" s="1">
        <v>1450000</v>
      </c>
      <c r="O24" s="1">
        <f>E24+G24+I24+K24+M24</f>
        <v>8070000</v>
      </c>
    </row>
    <row r="25">
      <c r="A25" s="1">
        <v>24</v>
      </c>
      <c r="B25" s="1" t="str">
        <v>0811513</v>
      </c>
      <c r="C25" s="1" t="str">
        <v>캘리엠</v>
      </c>
      <c r="D25" s="1" t="str">
        <v>문구</v>
      </c>
      <c r="E25" s="1">
        <v>2060000</v>
      </c>
      <c r="F25" s="1">
        <v>310000</v>
      </c>
      <c r="G25" s="1">
        <v>3220000</v>
      </c>
      <c r="I25" s="1">
        <v>1400000</v>
      </c>
      <c r="K25" s="1">
        <v>2190000</v>
      </c>
      <c r="M25" s="1">
        <v>1080000</v>
      </c>
      <c r="O25" s="1">
        <f>E25+G25+I25+K25+M25</f>
        <v>9950000</v>
      </c>
    </row>
    <row r="26">
      <c r="A26" s="1">
        <v>25</v>
      </c>
      <c r="B26" s="1" t="str">
        <v>0810588</v>
      </c>
      <c r="C26" s="1" t="str">
        <v>케이디코퍼레이션</v>
      </c>
      <c r="D26" s="1" t="str">
        <v>문구</v>
      </c>
      <c r="E26" s="1">
        <v>1850000</v>
      </c>
      <c r="G26" s="1">
        <v>3060000</v>
      </c>
      <c r="I26" s="1">
        <v>1500000</v>
      </c>
      <c r="K26" s="1">
        <v>2070000</v>
      </c>
      <c r="M26" s="1">
        <v>1140000</v>
      </c>
      <c r="O26" s="1">
        <f>E26+G26+I26+K26+M26</f>
        <v>9620000</v>
      </c>
    </row>
    <row r="27">
      <c r="A27" s="1">
        <v>26</v>
      </c>
      <c r="B27" s="1" t="str">
        <v>0818036</v>
      </c>
      <c r="C27" s="1" t="str">
        <v>페펜스튜디오</v>
      </c>
      <c r="D27" s="1" t="str">
        <v>문구</v>
      </c>
      <c r="E27" s="1">
        <v>5170000</v>
      </c>
      <c r="G27" s="1">
        <v>1800000</v>
      </c>
      <c r="I27" s="1">
        <v>2260000</v>
      </c>
      <c r="K27" s="1">
        <v>1140000</v>
      </c>
      <c r="M27" s="1">
        <v>1650000</v>
      </c>
      <c r="O27" s="1">
        <f>E27+G27+I27+K27+M27</f>
        <v>12020000</v>
      </c>
    </row>
    <row r="28">
      <c r="A28" s="1">
        <v>27</v>
      </c>
      <c r="B28" s="1" t="str">
        <v>0803267</v>
      </c>
      <c r="C28" s="1" t="str">
        <v>플레플레</v>
      </c>
      <c r="D28" s="1" t="str">
        <v>문구</v>
      </c>
      <c r="E28" s="1">
        <v>5400000</v>
      </c>
      <c r="G28" s="1">
        <v>1970000</v>
      </c>
      <c r="I28" s="1">
        <v>2150000</v>
      </c>
      <c r="K28" s="1">
        <v>1270000</v>
      </c>
      <c r="M28" s="1">
        <v>1580000</v>
      </c>
      <c r="O28" s="1">
        <f>E28+G28+I28+K28+M28</f>
        <v>12370000</v>
      </c>
    </row>
    <row r="29">
      <c r="A29" s="1">
        <v>28</v>
      </c>
      <c r="B29" s="1" t="str">
        <v>0807497</v>
      </c>
      <c r="C29" s="1" t="str">
        <v>학산문화사</v>
      </c>
      <c r="D29" s="1" t="str">
        <v>문구</v>
      </c>
      <c r="E29" s="1">
        <v>4810000</v>
      </c>
      <c r="G29" s="1">
        <v>1530000</v>
      </c>
      <c r="I29" s="1">
        <v>2420000</v>
      </c>
      <c r="K29" s="1">
        <v>940000</v>
      </c>
      <c r="M29" s="1">
        <v>260000</v>
      </c>
      <c r="O29" s="1">
        <f>E29+G29+I29+K29+M29</f>
        <v>9960000</v>
      </c>
    </row>
    <row r="30">
      <c r="A30" s="1">
        <v>29</v>
      </c>
      <c r="B30" s="1" t="str">
        <v>0817135</v>
      </c>
      <c r="C30" s="1" t="str">
        <v>해피썬</v>
      </c>
      <c r="D30" s="1" t="str">
        <v>문구</v>
      </c>
      <c r="E30" s="1">
        <v>4580000</v>
      </c>
      <c r="G30" s="1">
        <v>1360000</v>
      </c>
      <c r="I30" s="1">
        <v>270000</v>
      </c>
      <c r="K30" s="1">
        <v>820000</v>
      </c>
      <c r="L30" s="1">
        <v>120000</v>
      </c>
      <c r="M30" s="1">
        <v>320000</v>
      </c>
      <c r="O30" s="1">
        <f>E30+G30+I30+K30+M30</f>
        <v>7350000</v>
      </c>
    </row>
    <row r="31">
      <c r="A31" s="1">
        <v>30</v>
      </c>
      <c r="B31" s="1" t="str">
        <v>0803144</v>
      </c>
      <c r="C31" s="1" t="str">
        <v>씨케이세일즈</v>
      </c>
      <c r="D31" s="1" t="str">
        <v>문구</v>
      </c>
      <c r="E31" s="1">
        <v>910000</v>
      </c>
      <c r="G31" s="1">
        <v>2360000</v>
      </c>
      <c r="I31" s="1">
        <v>1920000</v>
      </c>
      <c r="K31" s="1">
        <v>1550000</v>
      </c>
      <c r="M31" s="1">
        <v>1430000</v>
      </c>
      <c r="O31" s="1">
        <f>E31+G31+I31+K31+M31</f>
        <v>8170000</v>
      </c>
    </row>
    <row r="32">
      <c r="A32" s="1">
        <v>31</v>
      </c>
      <c r="B32" s="1" t="str">
        <v>0803527</v>
      </c>
      <c r="C32" s="1" t="str">
        <v>프론티어통상</v>
      </c>
      <c r="D32" s="1" t="str">
        <v>문구</v>
      </c>
      <c r="E32" s="1">
        <v>4020000</v>
      </c>
      <c r="G32" s="1">
        <v>940000</v>
      </c>
      <c r="I32" s="1">
        <v>530000</v>
      </c>
      <c r="K32" s="1">
        <v>510000</v>
      </c>
      <c r="M32" s="1">
        <v>490000</v>
      </c>
      <c r="O32" s="1">
        <f>E32+G32+I32+K32+M32</f>
        <v>6490000</v>
      </c>
    </row>
    <row r="33">
      <c r="A33" s="1">
        <v>32</v>
      </c>
      <c r="B33" s="1" t="str">
        <v>0803255</v>
      </c>
      <c r="C33" s="1" t="str">
        <v>모닝글로리</v>
      </c>
      <c r="D33" s="1" t="str">
        <v>문구</v>
      </c>
      <c r="E33" s="1">
        <v>5410000</v>
      </c>
      <c r="G33" s="1">
        <v>1980000</v>
      </c>
      <c r="I33" s="1">
        <v>2150000</v>
      </c>
      <c r="K33" s="1">
        <v>1280000</v>
      </c>
      <c r="L33" s="1">
        <v>190000</v>
      </c>
      <c r="M33" s="1">
        <v>1580000</v>
      </c>
      <c r="O33" s="1">
        <f>E33+G33+I33+K33+M33</f>
        <v>12400000</v>
      </c>
    </row>
    <row r="34">
      <c r="A34" s="1">
        <v>33</v>
      </c>
      <c r="B34" s="1" t="str">
        <v>0803158</v>
      </c>
      <c r="C34" s="1" t="str">
        <v>바이풀디자인</v>
      </c>
      <c r="D34" s="1" t="str">
        <v>문구</v>
      </c>
      <c r="E34" s="1">
        <v>890000</v>
      </c>
      <c r="G34" s="1">
        <v>2340000</v>
      </c>
      <c r="I34" s="1">
        <v>1930000</v>
      </c>
      <c r="K34" s="1">
        <v>1540000</v>
      </c>
      <c r="M34" s="1">
        <v>1430000</v>
      </c>
      <c r="O34" s="1">
        <f>E34+G34+I34+K34+M34</f>
        <v>8130000</v>
      </c>
    </row>
    <row r="35">
      <c r="A35" s="1">
        <v>34</v>
      </c>
      <c r="B35" s="1" t="str">
        <v>0816796</v>
      </c>
      <c r="C35" s="1" t="str">
        <v>마이누</v>
      </c>
      <c r="D35" s="1" t="str">
        <v>문구</v>
      </c>
      <c r="E35" s="1">
        <v>1500000</v>
      </c>
      <c r="G35" s="1">
        <v>2800000</v>
      </c>
      <c r="I35" s="1">
        <v>1660000</v>
      </c>
      <c r="K35" s="1">
        <v>1870000</v>
      </c>
      <c r="M35" s="1">
        <v>1250000</v>
      </c>
      <c r="O35" s="1">
        <f>E35+G35+I35+K35+M35</f>
        <v>9080000</v>
      </c>
    </row>
    <row r="36">
      <c r="A36" s="1">
        <v>35</v>
      </c>
      <c r="B36" s="1" t="str">
        <v>0816312</v>
      </c>
      <c r="C36" s="1" t="str">
        <v>엠젯패밀리</v>
      </c>
      <c r="D36" s="1" t="str">
        <v>문구</v>
      </c>
      <c r="E36" s="1">
        <v>3550000</v>
      </c>
      <c r="G36" s="1">
        <v>590000</v>
      </c>
      <c r="H36" s="1">
        <v>90000</v>
      </c>
      <c r="I36" s="1">
        <v>740000</v>
      </c>
      <c r="K36" s="1">
        <v>3000000</v>
      </c>
      <c r="M36" s="1">
        <v>630000</v>
      </c>
      <c r="N36" s="1">
        <v>90000</v>
      </c>
      <c r="O36" s="1">
        <f>E36+G36+I36+K36+M36</f>
        <v>8510000</v>
      </c>
    </row>
    <row r="37">
      <c r="A37" s="1">
        <v>36</v>
      </c>
      <c r="B37" s="1" t="str">
        <v>0806798</v>
      </c>
      <c r="C37" s="1" t="str">
        <v>이가라인유통</v>
      </c>
      <c r="D37" s="1" t="str">
        <v>문구</v>
      </c>
      <c r="E37" s="1">
        <v>3260000</v>
      </c>
      <c r="G37" s="1">
        <v>4120000</v>
      </c>
      <c r="I37" s="1">
        <v>870000</v>
      </c>
      <c r="K37" s="1">
        <v>2840000</v>
      </c>
      <c r="M37" s="1">
        <v>720000</v>
      </c>
      <c r="O37" s="1">
        <f>E37+G37+I37+K37+M37</f>
        <v>11810000</v>
      </c>
    </row>
    <row r="38">
      <c r="A38" s="1">
        <v>37</v>
      </c>
      <c r="B38" s="1" t="str">
        <v>0816166</v>
      </c>
      <c r="C38" s="1" t="str">
        <v>해밀</v>
      </c>
      <c r="D38" s="1" t="str">
        <v>문구</v>
      </c>
      <c r="E38" s="1">
        <v>4430000</v>
      </c>
      <c r="G38" s="1">
        <v>1250000</v>
      </c>
      <c r="I38" s="1">
        <v>340000</v>
      </c>
      <c r="K38" s="1">
        <v>740000</v>
      </c>
      <c r="M38" s="1">
        <v>370000</v>
      </c>
      <c r="O38" s="1">
        <f>E38+G38+I38+K38+M38</f>
        <v>7130000</v>
      </c>
    </row>
    <row r="39">
      <c r="A39" s="1">
        <v>38</v>
      </c>
      <c r="B39" s="1" t="str">
        <v>0807481</v>
      </c>
      <c r="C39" s="1" t="str">
        <v>골드디자인</v>
      </c>
      <c r="D39" s="1" t="str">
        <v>문구</v>
      </c>
      <c r="E39" s="1">
        <v>4830000</v>
      </c>
      <c r="G39" s="1">
        <v>1540000</v>
      </c>
      <c r="I39" s="1">
        <v>2410000</v>
      </c>
      <c r="J39" s="1">
        <v>360000</v>
      </c>
      <c r="K39" s="1">
        <v>950000</v>
      </c>
      <c r="M39" s="1">
        <v>250000</v>
      </c>
      <c r="O39" s="1">
        <f>E39+G39+I39+K39+M39</f>
        <v>9980000</v>
      </c>
    </row>
    <row r="40">
      <c r="A40" s="1">
        <v>39</v>
      </c>
      <c r="B40" s="1" t="str">
        <v>0800334</v>
      </c>
      <c r="C40" s="1" t="str">
        <v>아이비스코리아</v>
      </c>
      <c r="D40" s="1" t="str">
        <v>문구</v>
      </c>
      <c r="E40" s="1">
        <v>4650000</v>
      </c>
      <c r="G40" s="1">
        <v>1410000</v>
      </c>
      <c r="I40" s="1">
        <v>240000</v>
      </c>
      <c r="K40" s="1">
        <v>860000</v>
      </c>
      <c r="M40" s="1">
        <v>300000</v>
      </c>
      <c r="O40" s="1">
        <f>E40+G40+I40+K40+M40</f>
        <v>7460000</v>
      </c>
    </row>
    <row r="41">
      <c r="A41" s="1">
        <v>40</v>
      </c>
      <c r="B41" s="1" t="str">
        <v>0803080</v>
      </c>
      <c r="C41" s="1" t="str">
        <v>위드에버상사</v>
      </c>
      <c r="D41" s="1" t="str">
        <v>문구</v>
      </c>
      <c r="E41" s="1">
        <v>1330000</v>
      </c>
      <c r="G41" s="1">
        <v>2670000</v>
      </c>
      <c r="I41" s="1">
        <v>1730000</v>
      </c>
      <c r="K41" s="1">
        <v>1780000</v>
      </c>
      <c r="M41" s="1">
        <v>1300000</v>
      </c>
      <c r="O41" s="1">
        <f>E41+G41+I41+K41+M41</f>
        <v>8810000</v>
      </c>
    </row>
    <row r="42">
      <c r="A42" s="1">
        <v>41</v>
      </c>
      <c r="B42" s="1" t="str">
        <v>01B0470</v>
      </c>
      <c r="C42" s="1" t="str">
        <v>드림어스컴퍼니</v>
      </c>
      <c r="D42" s="1" t="str">
        <v>음반</v>
      </c>
      <c r="E42" s="1">
        <v>4450000</v>
      </c>
      <c r="G42" s="1">
        <v>2230000</v>
      </c>
      <c r="I42" s="1">
        <v>330000</v>
      </c>
      <c r="K42" s="1">
        <v>750000</v>
      </c>
      <c r="M42" s="1">
        <v>360000</v>
      </c>
      <c r="O42" s="1">
        <f>E42+G42+I42+K42+M42</f>
        <v>8120000</v>
      </c>
    </row>
    <row r="43">
      <c r="A43" s="1">
        <v>42</v>
      </c>
      <c r="B43" s="1" t="str">
        <v>01B0478</v>
      </c>
      <c r="C43" s="1" t="str">
        <v>와이지플러스</v>
      </c>
      <c r="D43" s="1" t="str">
        <v>음반</v>
      </c>
      <c r="E43" s="1">
        <v>4450000</v>
      </c>
      <c r="G43" s="1">
        <v>2230000</v>
      </c>
      <c r="I43" s="1">
        <v>330000</v>
      </c>
      <c r="K43" s="1">
        <v>740000</v>
      </c>
      <c r="M43" s="1">
        <v>370000</v>
      </c>
      <c r="O43" s="1">
        <f>E43+G43+I43+K43+M43</f>
        <v>8120000</v>
      </c>
    </row>
    <row r="44">
      <c r="A44" s="1">
        <v>43</v>
      </c>
      <c r="B44" s="1" t="str">
        <v>01B0504</v>
      </c>
      <c r="C44" s="1" t="str">
        <v>카카오엔터테인먼트</v>
      </c>
      <c r="D44" s="1" t="str">
        <v>음반</v>
      </c>
      <c r="E44" s="1">
        <v>4080000</v>
      </c>
      <c r="G44" s="1">
        <v>2510000</v>
      </c>
      <c r="I44" s="1">
        <v>500000</v>
      </c>
      <c r="K44" s="1">
        <v>540000</v>
      </c>
      <c r="M44" s="1">
        <v>480000</v>
      </c>
      <c r="O44" s="1">
        <f>E44+G44+I44+K44+M44</f>
        <v>8110000</v>
      </c>
    </row>
    <row r="45">
      <c r="A45" s="1">
        <v>44</v>
      </c>
      <c r="B45" s="1" t="str">
        <v>0803124</v>
      </c>
      <c r="C45" s="1" t="str">
        <v>아톰상사(특정매입)</v>
      </c>
      <c r="D45" s="1" t="str">
        <v>특정매입</v>
      </c>
      <c r="E45" s="1">
        <v>940000</v>
      </c>
      <c r="G45" s="1">
        <v>2380000</v>
      </c>
      <c r="I45" s="1">
        <v>1910000</v>
      </c>
      <c r="K45" s="1">
        <v>1570000</v>
      </c>
      <c r="M45" s="1">
        <v>1420000</v>
      </c>
      <c r="O45" s="1">
        <f>E45+G45+I45+K45+M45</f>
        <v>8220000</v>
      </c>
    </row>
    <row r="46">
      <c r="A46" s="1">
        <v>45</v>
      </c>
      <c r="B46" s="1" t="str">
        <v>0803833</v>
      </c>
      <c r="C46" s="1" t="str">
        <v>모나미(특정매입)</v>
      </c>
      <c r="D46" s="1" t="str">
        <v>특정매입</v>
      </c>
      <c r="E46" s="1">
        <v>2560000</v>
      </c>
      <c r="F46" s="1">
        <v>380000</v>
      </c>
      <c r="G46" s="1">
        <v>3600000</v>
      </c>
      <c r="I46" s="1">
        <v>1180000</v>
      </c>
      <c r="K46" s="1">
        <v>2460000</v>
      </c>
      <c r="M46" s="1">
        <v>930000</v>
      </c>
      <c r="O46" s="1">
        <f>E46+G46+I46+K46+M46</f>
        <v>10730000</v>
      </c>
    </row>
    <row r="47">
      <c r="A47" s="1">
        <v>46</v>
      </c>
      <c r="B47" s="1" t="str">
        <v>0900216</v>
      </c>
      <c r="C47" s="1" t="str">
        <v>LEUCHTTURM</v>
      </c>
      <c r="D47" s="1" t="str">
        <v>해외문구</v>
      </c>
      <c r="E47" s="1">
        <v>590000</v>
      </c>
      <c r="G47" s="1">
        <v>2110000</v>
      </c>
      <c r="I47" s="1">
        <v>2070000</v>
      </c>
      <c r="K47" s="1">
        <v>1370000</v>
      </c>
      <c r="M47" s="1">
        <v>1520000</v>
      </c>
      <c r="O47" s="1">
        <f>E47+G47+I47+K47+M47</f>
        <v>7660000</v>
      </c>
    </row>
    <row r="48">
      <c r="A48" s="1">
        <v>47</v>
      </c>
      <c r="B48" s="1" t="str">
        <v>0900224</v>
      </c>
      <c r="C48" s="1" t="str">
        <v>LIHIT LAB.,INC</v>
      </c>
      <c r="D48" s="1" t="str">
        <v>해외문구</v>
      </c>
      <c r="E48" s="1">
        <v>570000</v>
      </c>
      <c r="G48" s="1">
        <v>2100000</v>
      </c>
      <c r="I48" s="1">
        <v>2080000</v>
      </c>
      <c r="K48" s="1">
        <v>1360000</v>
      </c>
      <c r="M48" s="1">
        <v>1530000</v>
      </c>
      <c r="O48" s="1">
        <f>E48+G48+I48+K48+M48</f>
        <v>7640000</v>
      </c>
    </row>
    <row r="49">
      <c r="A49" s="1">
        <v>48</v>
      </c>
      <c r="B49" s="1" t="str">
        <v>0900252</v>
      </c>
      <c r="C49" s="1" t="str">
        <v>HIGHTIDE CO.,LTD</v>
      </c>
      <c r="D49" s="1" t="str">
        <v>해외문구</v>
      </c>
      <c r="E49" s="1">
        <v>530000</v>
      </c>
      <c r="G49" s="1">
        <v>2070000</v>
      </c>
      <c r="H49" s="1">
        <v>310000</v>
      </c>
      <c r="I49" s="1">
        <v>2100000</v>
      </c>
      <c r="K49" s="1">
        <v>1340000</v>
      </c>
      <c r="M49" s="1">
        <v>1540000</v>
      </c>
      <c r="N49" s="1">
        <v>230000</v>
      </c>
      <c r="O49" s="1">
        <f>E49+G49+I49+K49+M49</f>
        <v>7580000</v>
      </c>
    </row>
    <row r="50">
      <c r="C50" s="1" t="str">
        <v>합계</v>
      </c>
      <c r="E50" s="1">
        <f>SUM(E2:E49)</f>
        <v>143890000</v>
      </c>
      <c r="F50" s="1">
        <f>SUM(F2:F49)</f>
        <v>2150000</v>
      </c>
      <c r="G50" s="1">
        <f>SUM(G2:G49)</f>
        <v>112970000</v>
      </c>
      <c r="H50" s="1">
        <f>SUM(H2:H49)</f>
        <v>700000</v>
      </c>
      <c r="I50" s="1">
        <f>SUM(I2:I49)</f>
        <v>69760000</v>
      </c>
      <c r="J50" s="1">
        <f>SUM(J2:J49)</f>
        <v>660000</v>
      </c>
      <c r="K50" s="1">
        <f>SUM(K2:K49)</f>
        <v>77240000</v>
      </c>
      <c r="L50" s="1">
        <f>SUM(L2:L49)</f>
        <v>2220000</v>
      </c>
      <c r="M50" s="1">
        <f>SUM(M2:M49)</f>
        <v>45900000</v>
      </c>
      <c r="N50" s="1">
        <f>SUM(N2:N49)</f>
        <v>550000</v>
      </c>
      <c r="O50" s="1">
        <f>SUM(O2:O49)</f>
        <v>449760000</v>
      </c>
    </row>
  </sheetData>
  <pageMargins left="0.75" right="0.75" top="1" bottom="1" header="0.511811023622047" footer="0.511811023622047"/>
  <ignoredErrors>
    <ignoredError numberStoredAsText="1" sqref="A1:O5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50"/>
  <sheetViews>
    <sheetView workbookViewId="0" rightToLeft="0"/>
  </sheetViews>
  <sheetData>
    <row r="1">
      <c r="A1" s="1" t="str">
        <v>순위</v>
      </c>
      <c r="B1" s="1" t="str">
        <v>매입처코드</v>
      </c>
      <c r="C1" s="1" t="str">
        <v>매입처명</v>
      </c>
      <c r="D1" s="1" t="str">
        <v>구분</v>
      </c>
      <c r="E1" s="1" t="str">
        <v>매출금액</v>
      </c>
      <c r="F1" s="1" t="str">
        <v>매출제외금액</v>
      </c>
      <c r="G1" s="1" t="str">
        <v>최종매출금액</v>
      </c>
      <c r="H1" s="1" t="str">
        <v>점유율(%)</v>
      </c>
    </row>
    <row r="2">
      <c r="A2" s="1">
        <v>1</v>
      </c>
      <c r="B2" s="1" t="str">
        <v>0803222</v>
      </c>
      <c r="C2" s="1" t="str">
        <v>아르디움</v>
      </c>
      <c r="D2" s="1" t="str">
        <v>문구</v>
      </c>
      <c r="E2" s="1">
        <v>5460000</v>
      </c>
      <c r="G2" s="1">
        <f>E2-IF(ISBLANK(F2),0,F2)</f>
        <v>5460000</v>
      </c>
      <c r="H2" s="1">
        <f>IFERROR(G2/G50*100,0)</f>
        <v>3.85212360660364</v>
      </c>
    </row>
    <row r="3">
      <c r="A3" s="1">
        <v>2</v>
      </c>
      <c r="B3" s="1" t="str">
        <v>0803255</v>
      </c>
      <c r="C3" s="1" t="str">
        <v>모닝글로리</v>
      </c>
      <c r="D3" s="1" t="str">
        <v>문구</v>
      </c>
      <c r="E3" s="1">
        <v>5410000</v>
      </c>
      <c r="G3" s="1">
        <f>E3-IF(ISBLANK(F3),0,F3)</f>
        <v>5410000</v>
      </c>
      <c r="H3" s="1">
        <f>IFERROR(G3/G50*100,0)</f>
        <v>3.81684774940031</v>
      </c>
    </row>
    <row r="4">
      <c r="A4" s="1">
        <v>3</v>
      </c>
      <c r="B4" s="1" t="str">
        <v>0803267</v>
      </c>
      <c r="C4" s="1" t="str">
        <v>플레플레</v>
      </c>
      <c r="D4" s="1" t="str">
        <v>문구</v>
      </c>
      <c r="E4" s="1">
        <v>5400000</v>
      </c>
      <c r="G4" s="1">
        <f>E4-IF(ISBLANK(F4),0,F4)</f>
        <v>5400000</v>
      </c>
      <c r="H4" s="1">
        <f>IFERROR(G4/G50*100,0)</f>
        <v>3.80979257795965</v>
      </c>
    </row>
    <row r="5">
      <c r="A5" s="1">
        <v>4</v>
      </c>
      <c r="B5" s="1" t="str">
        <v>0803289</v>
      </c>
      <c r="C5" s="1" t="str">
        <v>솜씨스템프</v>
      </c>
      <c r="D5" s="1" t="str">
        <v>문구</v>
      </c>
      <c r="E5" s="1">
        <v>5360000</v>
      </c>
      <c r="G5" s="1">
        <f>E5-IF(ISBLANK(F5),0,F5)</f>
        <v>5360000</v>
      </c>
      <c r="H5" s="1">
        <f>IFERROR(G5/G50*100,0)</f>
        <v>3.78157189219698</v>
      </c>
    </row>
    <row r="6">
      <c r="A6" s="1">
        <v>5</v>
      </c>
      <c r="B6" s="1" t="str">
        <v>0818036</v>
      </c>
      <c r="C6" s="1" t="str">
        <v>페펜스튜디오</v>
      </c>
      <c r="D6" s="1" t="str">
        <v>문구</v>
      </c>
      <c r="E6" s="1">
        <v>5170000</v>
      </c>
      <c r="G6" s="1">
        <f>E6-IF(ISBLANK(F6),0,F6)</f>
        <v>5170000</v>
      </c>
      <c r="H6" s="1">
        <f>IFERROR(G6/G50*100,0)</f>
        <v>3.64752363482433</v>
      </c>
    </row>
    <row r="7">
      <c r="A7" s="1">
        <v>6</v>
      </c>
      <c r="B7" s="1" t="str">
        <v>0812988</v>
      </c>
      <c r="C7" s="1" t="str">
        <v>모트모트</v>
      </c>
      <c r="D7" s="1" t="str">
        <v>문구</v>
      </c>
      <c r="E7" s="1">
        <v>5140000</v>
      </c>
      <c r="G7" s="1">
        <f>E7-IF(ISBLANK(F7),0,F7)</f>
        <v>5140000</v>
      </c>
      <c r="H7" s="1">
        <f>IFERROR(G7/G50*100,0)</f>
        <v>3.62635812050233</v>
      </c>
    </row>
    <row r="8">
      <c r="A8" s="1">
        <v>7</v>
      </c>
      <c r="B8" s="1" t="str">
        <v>0803303</v>
      </c>
      <c r="C8" s="1" t="str">
        <v>이투컬렉션</v>
      </c>
      <c r="D8" s="1" t="str">
        <v>문구</v>
      </c>
      <c r="E8" s="1">
        <v>5010000</v>
      </c>
      <c r="F8" s="1">
        <v>750000</v>
      </c>
      <c r="G8" s="1">
        <f>E8-IF(ISBLANK(F8),0,F8)</f>
        <v>4260000</v>
      </c>
      <c r="H8" s="1">
        <f>IFERROR(G8/G50*100,0)</f>
        <v>3.00550303372372</v>
      </c>
    </row>
    <row r="9">
      <c r="A9" s="1">
        <v>8</v>
      </c>
      <c r="B9" s="1" t="str">
        <v>0807481</v>
      </c>
      <c r="C9" s="1" t="str">
        <v>골드디자인</v>
      </c>
      <c r="D9" s="1" t="str">
        <v>문구</v>
      </c>
      <c r="E9" s="1">
        <v>4830000</v>
      </c>
      <c r="G9" s="1">
        <f>E9-IF(ISBLANK(F9),0,F9)</f>
        <v>4830000</v>
      </c>
      <c r="H9" s="1">
        <f>IFERROR(G9/G50*100,0)</f>
        <v>3.40764780584168</v>
      </c>
    </row>
    <row r="10">
      <c r="A10" s="1">
        <v>9</v>
      </c>
      <c r="B10" s="1" t="str">
        <v>0807485</v>
      </c>
      <c r="C10" s="1" t="str">
        <v>대시앤도트</v>
      </c>
      <c r="D10" s="1" t="str">
        <v>문구</v>
      </c>
      <c r="E10" s="1">
        <v>4820000</v>
      </c>
      <c r="G10" s="1">
        <f>E10-IF(ISBLANK(F10),0,F10)</f>
        <v>4820000</v>
      </c>
      <c r="H10" s="1">
        <f>IFERROR(G10/G50*100,0)</f>
        <v>3.40059263440102</v>
      </c>
    </row>
    <row r="11">
      <c r="A11" s="1">
        <v>10</v>
      </c>
      <c r="B11" s="1" t="str">
        <v>0807497</v>
      </c>
      <c r="C11" s="1" t="str">
        <v>학산문화사</v>
      </c>
      <c r="D11" s="1" t="str">
        <v>문구</v>
      </c>
      <c r="E11" s="1">
        <v>4810000</v>
      </c>
      <c r="G11" s="1">
        <f>E11-IF(ISBLANK(F11),0,F11)</f>
        <v>4810000</v>
      </c>
      <c r="H11" s="1">
        <f>IFERROR(G11/G50*100,0)</f>
        <v>3.39353746296035</v>
      </c>
    </row>
    <row r="12">
      <c r="A12" s="1">
        <v>11</v>
      </c>
      <c r="B12" s="1" t="str">
        <v>0800334</v>
      </c>
      <c r="C12" s="1" t="str">
        <v>아이비스코리아</v>
      </c>
      <c r="D12" s="1" t="str">
        <v>문구</v>
      </c>
      <c r="E12" s="1">
        <v>4650000</v>
      </c>
      <c r="G12" s="1">
        <f>E12-IF(ISBLANK(F12),0,F12)</f>
        <v>4650000</v>
      </c>
      <c r="H12" s="1">
        <f>IFERROR(G12/G50*100,0)</f>
        <v>3.28065471990969</v>
      </c>
    </row>
    <row r="13">
      <c r="A13" s="1">
        <v>12</v>
      </c>
      <c r="B13" s="1" t="str">
        <v>0817135</v>
      </c>
      <c r="C13" s="1" t="str">
        <v>해피썬</v>
      </c>
      <c r="D13" s="1" t="str">
        <v>문구</v>
      </c>
      <c r="E13" s="1">
        <v>4580000</v>
      </c>
      <c r="G13" s="1">
        <f>E13-IF(ISBLANK(F13),0,F13)</f>
        <v>4580000</v>
      </c>
      <c r="H13" s="1">
        <f>IFERROR(G13/G50*100,0)</f>
        <v>3.23126851982503</v>
      </c>
    </row>
    <row r="14">
      <c r="A14" s="1">
        <v>13</v>
      </c>
      <c r="B14" s="1" t="str">
        <v>01B0470</v>
      </c>
      <c r="C14" s="1" t="str">
        <v>드림어스컴퍼니</v>
      </c>
      <c r="D14" s="1" t="str">
        <v>음반</v>
      </c>
      <c r="E14" s="1">
        <v>4450000</v>
      </c>
      <c r="G14" s="1">
        <f>E14-IF(ISBLANK(F14),0,F14)</f>
        <v>4450000</v>
      </c>
      <c r="H14" s="1">
        <f>IFERROR(G14/G50*100,0)</f>
        <v>3.13955129109637</v>
      </c>
    </row>
    <row r="15">
      <c r="A15" s="1">
        <v>14</v>
      </c>
      <c r="B15" s="1" t="str">
        <v>01B0478</v>
      </c>
      <c r="C15" s="1" t="str">
        <v>와이지플러스</v>
      </c>
      <c r="D15" s="1" t="str">
        <v>음반</v>
      </c>
      <c r="E15" s="1">
        <v>4450000</v>
      </c>
      <c r="G15" s="1">
        <f>E15-IF(ISBLANK(F15),0,F15)</f>
        <v>4450000</v>
      </c>
      <c r="H15" s="1">
        <f>IFERROR(G15/G50*100,0)</f>
        <v>3.13955129109637</v>
      </c>
    </row>
    <row r="16">
      <c r="A16" s="1">
        <v>15</v>
      </c>
      <c r="B16" s="1" t="str">
        <v>0816166</v>
      </c>
      <c r="C16" s="1" t="str">
        <v>해밀</v>
      </c>
      <c r="D16" s="1" t="str">
        <v>문구</v>
      </c>
      <c r="E16" s="1">
        <v>4430000</v>
      </c>
      <c r="G16" s="1">
        <f>E16-IF(ISBLANK(F16),0,F16)</f>
        <v>4430000</v>
      </c>
      <c r="H16" s="1">
        <f>IFERROR(G16/G50*100,0)</f>
        <v>3.12544094821504</v>
      </c>
    </row>
    <row r="17">
      <c r="A17" s="1">
        <v>16</v>
      </c>
      <c r="B17" s="1" t="str">
        <v>0817225</v>
      </c>
      <c r="C17" s="1" t="str">
        <v>도혜드로잉</v>
      </c>
      <c r="D17" s="1" t="str">
        <v>문구</v>
      </c>
      <c r="E17" s="1">
        <v>4120000</v>
      </c>
      <c r="G17" s="1">
        <f>E17-IF(ISBLANK(F17),0,F17)</f>
        <v>4120000</v>
      </c>
      <c r="H17" s="1">
        <f>IFERROR(G17/G50*100,0)</f>
        <v>2.9067306335544</v>
      </c>
    </row>
    <row r="18">
      <c r="A18" s="1">
        <v>17</v>
      </c>
      <c r="B18" s="1" t="str">
        <v>01B0504</v>
      </c>
      <c r="C18" s="1" t="str">
        <v>카카오엔터테인먼트</v>
      </c>
      <c r="D18" s="1" t="str">
        <v>음반</v>
      </c>
      <c r="E18" s="1">
        <v>4080000</v>
      </c>
      <c r="G18" s="1">
        <f>E18-IF(ISBLANK(F18),0,F18)</f>
        <v>4080000</v>
      </c>
      <c r="H18" s="1">
        <f>IFERROR(G18/G50*100,0)</f>
        <v>2.87850994779173</v>
      </c>
    </row>
    <row r="19">
      <c r="A19" s="1">
        <v>18</v>
      </c>
      <c r="B19" s="1" t="str">
        <v>0803503</v>
      </c>
      <c r="C19" s="1" t="str">
        <v>로마네</v>
      </c>
      <c r="D19" s="1" t="str">
        <v>문구</v>
      </c>
      <c r="E19" s="1">
        <v>4050000</v>
      </c>
      <c r="F19" s="1">
        <v>610000</v>
      </c>
      <c r="G19" s="1">
        <f>E19-IF(ISBLANK(F19),0,F19)</f>
        <v>3440000</v>
      </c>
      <c r="H19" s="1">
        <f>IFERROR(G19/G50*100,0)</f>
        <v>2.42697897558911</v>
      </c>
    </row>
    <row r="20">
      <c r="A20" s="1">
        <v>19</v>
      </c>
      <c r="B20" s="1" t="str">
        <v>0803527</v>
      </c>
      <c r="C20" s="1" t="str">
        <v>프론티어통상</v>
      </c>
      <c r="D20" s="1" t="str">
        <v>문구</v>
      </c>
      <c r="E20" s="1">
        <v>4020000</v>
      </c>
      <c r="G20" s="1">
        <f>E20-IF(ISBLANK(F20),0,F20)</f>
        <v>4020000</v>
      </c>
      <c r="H20" s="1">
        <f>IFERROR(G20/G50*100,0)</f>
        <v>2.83617891914774</v>
      </c>
    </row>
    <row r="21">
      <c r="A21" s="1">
        <v>20</v>
      </c>
      <c r="B21" s="1" t="str">
        <v>0816312</v>
      </c>
      <c r="C21" s="1" t="str">
        <v>엠젯패밀리</v>
      </c>
      <c r="D21" s="1" t="str">
        <v>문구</v>
      </c>
      <c r="E21" s="1">
        <v>3550000</v>
      </c>
      <c r="G21" s="1">
        <f>E21-IF(ISBLANK(F21),0,F21)</f>
        <v>3550000</v>
      </c>
      <c r="H21" s="1">
        <f>IFERROR(G21/G50*100,0)</f>
        <v>2.50458586143643</v>
      </c>
    </row>
    <row r="22">
      <c r="A22" s="1">
        <v>21</v>
      </c>
      <c r="B22" s="1" t="str">
        <v>0803690</v>
      </c>
      <c r="C22" s="1" t="str">
        <v>인디고</v>
      </c>
      <c r="D22" s="1" t="str">
        <v>문구</v>
      </c>
      <c r="E22" s="1">
        <v>3430000</v>
      </c>
      <c r="G22" s="1">
        <f>E22-IF(ISBLANK(F22),0,F22)</f>
        <v>3430000</v>
      </c>
      <c r="H22" s="1">
        <f>IFERROR(G22/G50*100,0)</f>
        <v>2.41992380414844</v>
      </c>
    </row>
    <row r="23">
      <c r="A23" s="1">
        <v>22</v>
      </c>
      <c r="B23" s="1" t="str">
        <v>0806798</v>
      </c>
      <c r="C23" s="1" t="str">
        <v>이가라인유통</v>
      </c>
      <c r="D23" s="1" t="str">
        <v>문구</v>
      </c>
      <c r="E23" s="1">
        <v>3260000</v>
      </c>
      <c r="G23" s="1">
        <f>E23-IF(ISBLANK(F23),0,F23)</f>
        <v>3260000</v>
      </c>
      <c r="H23" s="1">
        <f>IFERROR(G23/G50*100,0)</f>
        <v>2.29998588965712</v>
      </c>
    </row>
    <row r="24">
      <c r="A24" s="1">
        <v>23</v>
      </c>
      <c r="B24" s="1" t="str">
        <v>0803741</v>
      </c>
      <c r="C24" s="1" t="str">
        <v>BST</v>
      </c>
      <c r="D24" s="1" t="str">
        <v>문구</v>
      </c>
      <c r="E24" s="1">
        <v>3030000</v>
      </c>
      <c r="G24" s="1">
        <f>E24-IF(ISBLANK(F24),0,F24)</f>
        <v>3030000</v>
      </c>
      <c r="H24" s="1">
        <f>IFERROR(G24/G50*100,0)</f>
        <v>2.1377169465218</v>
      </c>
    </row>
    <row r="25">
      <c r="A25" s="1">
        <v>24</v>
      </c>
      <c r="B25" s="1" t="str">
        <v>0803791</v>
      </c>
      <c r="C25" s="1" t="str">
        <v>공장</v>
      </c>
      <c r="D25" s="1" t="str">
        <v>문구</v>
      </c>
      <c r="E25" s="1">
        <v>2950000</v>
      </c>
      <c r="G25" s="1">
        <f>E25-IF(ISBLANK(F25),0,F25)</f>
        <v>2950000</v>
      </c>
      <c r="H25" s="1">
        <f>IFERROR(G25/G50*100,0)</f>
        <v>2.08127557499647</v>
      </c>
    </row>
    <row r="26">
      <c r="A26" s="1">
        <v>25</v>
      </c>
      <c r="B26" s="1" t="str">
        <v>0817528</v>
      </c>
      <c r="C26" s="1" t="str">
        <v>누크코퍼레이션</v>
      </c>
      <c r="D26" s="1" t="str">
        <v>문구</v>
      </c>
      <c r="E26" s="1">
        <v>2670000</v>
      </c>
      <c r="G26" s="1">
        <f>E26-IF(ISBLANK(F26),0,F26)</f>
        <v>2670000</v>
      </c>
      <c r="H26" s="1">
        <f>IFERROR(G26/G50*100,0)</f>
        <v>1.88373077465782</v>
      </c>
    </row>
    <row r="27">
      <c r="A27" s="1">
        <v>26</v>
      </c>
      <c r="B27" s="1" t="str">
        <v>0803825</v>
      </c>
      <c r="C27" s="1" t="str">
        <v>정인통상</v>
      </c>
      <c r="D27" s="1" t="str">
        <v>문구</v>
      </c>
      <c r="E27" s="1">
        <v>2580000</v>
      </c>
      <c r="G27" s="1">
        <f>E27-IF(ISBLANK(F27),0,F27)</f>
        <v>2580000</v>
      </c>
      <c r="H27" s="1">
        <f>IFERROR(G27/G50*100,0)</f>
        <v>1.82023423169183</v>
      </c>
    </row>
    <row r="28">
      <c r="A28" s="1">
        <v>27</v>
      </c>
      <c r="B28" s="1" t="str">
        <v>0816525</v>
      </c>
      <c r="C28" s="1" t="str">
        <v>루카랩컴퍼니</v>
      </c>
      <c r="D28" s="1" t="str">
        <v>문구</v>
      </c>
      <c r="E28" s="1">
        <v>2570000</v>
      </c>
      <c r="G28" s="1">
        <f>E28-IF(ISBLANK(F28),0,F28)</f>
        <v>2570000</v>
      </c>
      <c r="H28" s="1">
        <f>IFERROR(G28/G50*100,0)</f>
        <v>1.81317906025116</v>
      </c>
    </row>
    <row r="29">
      <c r="A29" s="1">
        <v>28</v>
      </c>
      <c r="B29" s="1" t="str">
        <v>0803833</v>
      </c>
      <c r="C29" s="1" t="str">
        <v>모나미(특정매입)</v>
      </c>
      <c r="D29" s="1" t="str">
        <v>특정매입</v>
      </c>
      <c r="E29" s="1">
        <v>2560000</v>
      </c>
      <c r="F29" s="1">
        <v>380000</v>
      </c>
      <c r="G29" s="1">
        <f>E29-IF(ISBLANK(F29),0,F29)</f>
        <v>2180000</v>
      </c>
      <c r="H29" s="1">
        <f>IFERROR(G29/G50*100,0)</f>
        <v>1.53802737406519</v>
      </c>
    </row>
    <row r="30">
      <c r="A30" s="1">
        <v>29</v>
      </c>
      <c r="B30" s="1" t="str">
        <v>0816555</v>
      </c>
      <c r="C30" s="1" t="str">
        <v>냐냐온 스튜디오</v>
      </c>
      <c r="D30" s="1" t="str">
        <v>문구</v>
      </c>
      <c r="E30" s="1">
        <v>2520000</v>
      </c>
      <c r="G30" s="1">
        <f>E30-IF(ISBLANK(F30),0,F30)</f>
        <v>2520000</v>
      </c>
      <c r="H30" s="1">
        <f>IFERROR(G30/G50*100,0)</f>
        <v>1.77790320304783</v>
      </c>
    </row>
    <row r="31">
      <c r="A31" s="1">
        <v>30</v>
      </c>
      <c r="B31" s="1" t="str">
        <v>0810456</v>
      </c>
      <c r="C31" s="1" t="str">
        <v>디앤에프조이필</v>
      </c>
      <c r="D31" s="1" t="str">
        <v>문구</v>
      </c>
      <c r="E31" s="1">
        <v>2380000</v>
      </c>
      <c r="G31" s="1">
        <f>E31-IF(ISBLANK(F31),0,F31)</f>
        <v>2380000</v>
      </c>
      <c r="H31" s="1">
        <f>IFERROR(G31/G50*100,0)</f>
        <v>1.67913080287851</v>
      </c>
    </row>
    <row r="32">
      <c r="A32" s="1">
        <v>31</v>
      </c>
      <c r="B32" s="1" t="str">
        <v>0818620</v>
      </c>
      <c r="C32" s="1" t="str">
        <v>더토브</v>
      </c>
      <c r="D32" s="1" t="str">
        <v>문구</v>
      </c>
      <c r="E32" s="1">
        <v>2300000</v>
      </c>
      <c r="G32" s="1">
        <f>E32-IF(ISBLANK(F32),0,F32)</f>
        <v>2300000</v>
      </c>
      <c r="H32" s="1">
        <f>IFERROR(G32/G50*100,0)</f>
        <v>1.62268943135318</v>
      </c>
    </row>
    <row r="33">
      <c r="A33" s="1">
        <v>32</v>
      </c>
      <c r="B33" s="1" t="str">
        <v>0817604</v>
      </c>
      <c r="C33" s="1" t="str">
        <v>비온뒤</v>
      </c>
      <c r="D33" s="1" t="str">
        <v>문구</v>
      </c>
      <c r="E33" s="1">
        <v>2230000</v>
      </c>
      <c r="G33" s="1">
        <f>E33-IF(ISBLANK(F33),0,F33)</f>
        <v>2230000</v>
      </c>
      <c r="H33" s="1">
        <f>IFERROR(G33/G50*100,0)</f>
        <v>1.57330323126852</v>
      </c>
    </row>
    <row r="34">
      <c r="A34" s="1">
        <v>33</v>
      </c>
      <c r="B34" s="1" t="str">
        <v>0817625</v>
      </c>
      <c r="C34" s="1" t="str">
        <v>대인커머스</v>
      </c>
      <c r="D34" s="1" t="str">
        <v>문구</v>
      </c>
      <c r="E34" s="1">
        <v>2200000</v>
      </c>
      <c r="G34" s="1">
        <f>E34-IF(ISBLANK(F34),0,F34)</f>
        <v>2200000</v>
      </c>
      <c r="H34" s="1">
        <f>IFERROR(G34/G50*100,0)</f>
        <v>1.55213771694652</v>
      </c>
    </row>
    <row r="35">
      <c r="A35" s="1">
        <v>34</v>
      </c>
      <c r="B35" s="1" t="str">
        <v>0811513</v>
      </c>
      <c r="C35" s="1" t="str">
        <v>캘리엠</v>
      </c>
      <c r="D35" s="1" t="str">
        <v>문구</v>
      </c>
      <c r="E35" s="1">
        <v>2060000</v>
      </c>
      <c r="F35" s="1">
        <v>310000</v>
      </c>
      <c r="G35" s="1">
        <f>E35-IF(ISBLANK(F35),0,F35)</f>
        <v>1750000</v>
      </c>
      <c r="H35" s="1">
        <f>IFERROR(G35/G50*100,0)</f>
        <v>1.23465500211655</v>
      </c>
    </row>
    <row r="36">
      <c r="A36" s="1">
        <v>35</v>
      </c>
      <c r="B36" s="1" t="str">
        <v>0810588</v>
      </c>
      <c r="C36" s="1" t="str">
        <v>케이디코퍼레이션</v>
      </c>
      <c r="D36" s="1" t="str">
        <v>문구</v>
      </c>
      <c r="E36" s="1">
        <v>1850000</v>
      </c>
      <c r="G36" s="1">
        <f>E36-IF(ISBLANK(F36),0,F36)</f>
        <v>1850000</v>
      </c>
      <c r="H36" s="1">
        <f>IFERROR(G36/G50*100,0)</f>
        <v>1.30520671652321</v>
      </c>
    </row>
    <row r="37">
      <c r="A37" s="1">
        <v>36</v>
      </c>
      <c r="B37" s="1" t="str">
        <v>0816796</v>
      </c>
      <c r="C37" s="1" t="str">
        <v>마이누</v>
      </c>
      <c r="D37" s="1" t="str">
        <v>문구</v>
      </c>
      <c r="E37" s="1">
        <v>1500000</v>
      </c>
      <c r="G37" s="1">
        <f>E37-IF(ISBLANK(F37),0,F37)</f>
        <v>1500000</v>
      </c>
      <c r="H37" s="1">
        <f>IFERROR(G37/G50*100,0)</f>
        <v>1.0582757160999</v>
      </c>
    </row>
    <row r="38">
      <c r="A38" s="1">
        <v>37</v>
      </c>
      <c r="B38" s="1" t="str">
        <v>0803080</v>
      </c>
      <c r="C38" s="1" t="str">
        <v>위드에버상사</v>
      </c>
      <c r="D38" s="1" t="str">
        <v>문구</v>
      </c>
      <c r="E38" s="1">
        <v>1330000</v>
      </c>
      <c r="G38" s="1">
        <f>E38-IF(ISBLANK(F38),0,F38)</f>
        <v>1330000</v>
      </c>
      <c r="H38" s="1">
        <f>IFERROR(G38/G50*100,0)</f>
        <v>0.938337801608579</v>
      </c>
    </row>
    <row r="39">
      <c r="A39" s="1">
        <v>38</v>
      </c>
      <c r="B39" s="1" t="str">
        <v>0811795</v>
      </c>
      <c r="C39" s="1" t="str">
        <v>베르제마넷</v>
      </c>
      <c r="D39" s="1" t="str">
        <v>문구</v>
      </c>
      <c r="E39" s="1">
        <v>980000</v>
      </c>
      <c r="G39" s="1">
        <f>E39-IF(ISBLANK(F39),0,F39)</f>
        <v>980000</v>
      </c>
      <c r="H39" s="1">
        <f>IFERROR(G39/G50*100,0)</f>
        <v>0.691406801185269</v>
      </c>
    </row>
    <row r="40">
      <c r="A40" s="1">
        <v>39</v>
      </c>
      <c r="B40" s="1" t="str">
        <v>0803124</v>
      </c>
      <c r="C40" s="1" t="str">
        <v>아톰상사(특정매입)</v>
      </c>
      <c r="D40" s="1" t="str">
        <v>특정매입</v>
      </c>
      <c r="E40" s="1">
        <v>940000</v>
      </c>
      <c r="G40" s="1">
        <f>E40-IF(ISBLANK(F40),0,F40)</f>
        <v>940000</v>
      </c>
      <c r="H40" s="1">
        <f>IFERROR(G40/G50*100,0)</f>
        <v>0.663186115422605</v>
      </c>
    </row>
    <row r="41">
      <c r="A41" s="1">
        <v>40</v>
      </c>
      <c r="B41" s="1" t="str">
        <v>0803144</v>
      </c>
      <c r="C41" s="1" t="str">
        <v>씨케이세일즈</v>
      </c>
      <c r="D41" s="1" t="str">
        <v>문구</v>
      </c>
      <c r="E41" s="1">
        <v>910000</v>
      </c>
      <c r="G41" s="1">
        <f>E41-IF(ISBLANK(F41),0,F41)</f>
        <v>910000</v>
      </c>
      <c r="H41" s="1">
        <f>IFERROR(G41/G50*100,0)</f>
        <v>0.642020601100607</v>
      </c>
    </row>
    <row r="42">
      <c r="A42" s="1">
        <v>41</v>
      </c>
      <c r="B42" s="1" t="str">
        <v>0803159</v>
      </c>
      <c r="C42" s="1" t="str">
        <v>안테나샵</v>
      </c>
      <c r="D42" s="1" t="str">
        <v>문구</v>
      </c>
      <c r="E42" s="1">
        <v>890000</v>
      </c>
      <c r="G42" s="1">
        <f>E42-IF(ISBLANK(F42),0,F42)</f>
        <v>890000</v>
      </c>
      <c r="H42" s="1">
        <f>IFERROR(G42/G50*100,0)</f>
        <v>0.627910258219275</v>
      </c>
    </row>
    <row r="43">
      <c r="A43" s="1">
        <v>42</v>
      </c>
      <c r="B43" s="1" t="str">
        <v>0803158</v>
      </c>
      <c r="C43" s="1" t="str">
        <v>바이풀디자인</v>
      </c>
      <c r="D43" s="1" t="str">
        <v>문구</v>
      </c>
      <c r="E43" s="1">
        <v>890000</v>
      </c>
      <c r="G43" s="1">
        <f>E43-IF(ISBLANK(F43),0,F43)</f>
        <v>890000</v>
      </c>
      <c r="H43" s="1">
        <f>IFERROR(G43/G50*100,0)</f>
        <v>0.627910258219275</v>
      </c>
    </row>
    <row r="44">
      <c r="A44" s="1">
        <v>43</v>
      </c>
      <c r="B44" s="1" t="str">
        <v>0803186</v>
      </c>
      <c r="C44" s="1" t="str">
        <v>아이코닉</v>
      </c>
      <c r="D44" s="1" t="str">
        <v>문구</v>
      </c>
      <c r="E44" s="1">
        <v>850000</v>
      </c>
      <c r="G44" s="1">
        <f>E44-IF(ISBLANK(F44),0,F44)</f>
        <v>850000</v>
      </c>
      <c r="H44" s="1">
        <f>IFERROR(G44/G50*100,0)</f>
        <v>0.599689572456611</v>
      </c>
    </row>
    <row r="45">
      <c r="A45" s="1">
        <v>44</v>
      </c>
      <c r="B45" s="1" t="str">
        <v>0803187</v>
      </c>
      <c r="C45" s="1" t="str">
        <v>칠삼이일디자인</v>
      </c>
      <c r="D45" s="1" t="str">
        <v>문구</v>
      </c>
      <c r="E45" s="1">
        <v>850000</v>
      </c>
      <c r="G45" s="1">
        <f>E45-IF(ISBLANK(F45),0,F45)</f>
        <v>850000</v>
      </c>
      <c r="H45" s="1">
        <f>IFERROR(G45/G50*100,0)</f>
        <v>0.599689572456611</v>
      </c>
    </row>
    <row r="46">
      <c r="A46" s="1">
        <v>45</v>
      </c>
      <c r="B46" s="1" t="str">
        <v>0816903</v>
      </c>
      <c r="C46" s="1" t="str">
        <v>더시호</v>
      </c>
      <c r="D46" s="1" t="str">
        <v>문구</v>
      </c>
      <c r="E46" s="1">
        <v>680000</v>
      </c>
      <c r="F46" s="1">
        <v>100000</v>
      </c>
      <c r="G46" s="1">
        <f>E46-IF(ISBLANK(F46),0,F46)</f>
        <v>580000</v>
      </c>
      <c r="H46" s="1">
        <f>IFERROR(G46/G50*100,0)</f>
        <v>0.409199943558629</v>
      </c>
    </row>
    <row r="47">
      <c r="A47" s="1">
        <v>46</v>
      </c>
      <c r="B47" s="1" t="str">
        <v>0900216</v>
      </c>
      <c r="C47" s="1" t="str">
        <v>LEUCHTTURM</v>
      </c>
      <c r="D47" s="1" t="str">
        <v>해외문구</v>
      </c>
      <c r="E47" s="1">
        <v>590000</v>
      </c>
      <c r="G47" s="1">
        <f>E47-IF(ISBLANK(F47),0,F47)</f>
        <v>590000</v>
      </c>
      <c r="H47" s="1">
        <f>IFERROR(G47/G50*100,0)</f>
        <v>0.416255114999294</v>
      </c>
    </row>
    <row r="48">
      <c r="A48" s="1">
        <v>47</v>
      </c>
      <c r="B48" s="1" t="str">
        <v>0900224</v>
      </c>
      <c r="C48" s="1" t="str">
        <v>LIHIT LAB.,INC</v>
      </c>
      <c r="D48" s="1" t="str">
        <v>해외문구</v>
      </c>
      <c r="E48" s="1">
        <v>570000</v>
      </c>
      <c r="G48" s="1">
        <f>E48-IF(ISBLANK(F48),0,F48)</f>
        <v>570000</v>
      </c>
      <c r="H48" s="1">
        <f>IFERROR(G48/G50*100,0)</f>
        <v>0.402144772117962</v>
      </c>
    </row>
    <row r="49">
      <c r="A49" s="1">
        <v>48</v>
      </c>
      <c r="B49" s="1" t="str">
        <v>0900252</v>
      </c>
      <c r="C49" s="1" t="str">
        <v>HIGHTIDE CO.,LTD</v>
      </c>
      <c r="D49" s="1" t="str">
        <v>해외문구</v>
      </c>
      <c r="E49" s="1">
        <v>530000</v>
      </c>
      <c r="G49" s="1">
        <f>E49-IF(ISBLANK(F49),0,F49)</f>
        <v>530000</v>
      </c>
      <c r="H49" s="1">
        <f>IFERROR(G49/G50*100,0)</f>
        <v>0.373924086355298</v>
      </c>
    </row>
    <row r="50">
      <c r="C50" s="1" t="str">
        <v>합계</v>
      </c>
      <c r="E50" s="1">
        <f>SUM(E2:E49)</f>
        <v>143890000</v>
      </c>
      <c r="F50" s="1">
        <f>SUM(F2:F49)</f>
        <v>2150000</v>
      </c>
      <c r="G50" s="1">
        <f>SUM(G2:G49)</f>
        <v>141740000</v>
      </c>
      <c r="H50" s="1">
        <v>100</v>
      </c>
    </row>
  </sheetData>
  <pageMargins left="0.75" right="0.75" top="1" bottom="1" header="0.511811023622047" footer="0.511811023622047"/>
  <ignoredErrors>
    <ignoredError numberStoredAsText="1" sqref="A1:H5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50"/>
  <sheetViews>
    <sheetView workbookViewId="0" rightToLeft="0"/>
  </sheetViews>
  <sheetData>
    <row r="1">
      <c r="A1" s="1" t="str">
        <v>순위</v>
      </c>
      <c r="B1" s="1" t="str">
        <v>매입처코드</v>
      </c>
      <c r="C1" s="1" t="str">
        <v>매입처명</v>
      </c>
      <c r="D1" s="1" t="str">
        <v>구분</v>
      </c>
      <c r="E1" s="1" t="str">
        <v>매출금액</v>
      </c>
      <c r="F1" s="1" t="str">
        <v>매출제외금액</v>
      </c>
      <c r="G1" s="1" t="str">
        <v>최종매출금액</v>
      </c>
      <c r="H1" s="1" t="str">
        <v>점유율(%)</v>
      </c>
    </row>
    <row r="2">
      <c r="A2" s="1">
        <v>1</v>
      </c>
      <c r="B2" s="1" t="str">
        <v>0806798</v>
      </c>
      <c r="C2" s="1" t="str">
        <v>이가라인유통</v>
      </c>
      <c r="D2" s="1" t="str">
        <v>문구</v>
      </c>
      <c r="E2" s="1">
        <v>4120000</v>
      </c>
      <c r="G2" s="1">
        <f>E2-IF(ISBLANK(F2),0,F2)</f>
        <v>4120000</v>
      </c>
      <c r="H2" s="1">
        <f>IFERROR(G2/G50*100,0)</f>
        <v>3.6697247706422</v>
      </c>
    </row>
    <row r="3">
      <c r="A3" s="1">
        <v>2</v>
      </c>
      <c r="B3" s="1" t="str">
        <v>0803741</v>
      </c>
      <c r="C3" s="1" t="str">
        <v>BST</v>
      </c>
      <c r="D3" s="1" t="str">
        <v>문구</v>
      </c>
      <c r="E3" s="1">
        <v>3940000</v>
      </c>
      <c r="G3" s="1">
        <f>E3-IF(ISBLANK(F3),0,F3)</f>
        <v>3940000</v>
      </c>
      <c r="H3" s="1">
        <f>IFERROR(G3/G50*100,0)</f>
        <v>3.50939698940055</v>
      </c>
    </row>
    <row r="4">
      <c r="A4" s="1">
        <v>3</v>
      </c>
      <c r="B4" s="1" t="str">
        <v>0803791</v>
      </c>
      <c r="C4" s="1" t="str">
        <v>공장</v>
      </c>
      <c r="D4" s="1" t="str">
        <v>문구</v>
      </c>
      <c r="E4" s="1">
        <v>3890000</v>
      </c>
      <c r="G4" s="1">
        <f>E4-IF(ISBLANK(F4),0,F4)</f>
        <v>3890000</v>
      </c>
      <c r="H4" s="1">
        <f>IFERROR(G4/G50*100,0)</f>
        <v>3.46486149461121</v>
      </c>
    </row>
    <row r="5">
      <c r="A5" s="1">
        <v>4</v>
      </c>
      <c r="B5" s="1" t="str">
        <v>0817528</v>
      </c>
      <c r="C5" s="1" t="str">
        <v>누크코퍼레이션</v>
      </c>
      <c r="D5" s="1" t="str">
        <v>문구</v>
      </c>
      <c r="E5" s="1">
        <v>3680000</v>
      </c>
      <c r="G5" s="1">
        <f>E5-IF(ISBLANK(F5),0,F5)</f>
        <v>3680000</v>
      </c>
      <c r="H5" s="1">
        <f>IFERROR(G5/G50*100,0)</f>
        <v>3.27781241649595</v>
      </c>
    </row>
    <row r="6">
      <c r="A6" s="1">
        <v>5</v>
      </c>
      <c r="B6" s="1" t="str">
        <v>0803825</v>
      </c>
      <c r="C6" s="1" t="str">
        <v>정인통상</v>
      </c>
      <c r="D6" s="1" t="str">
        <v>문구</v>
      </c>
      <c r="E6" s="1">
        <v>3610000</v>
      </c>
      <c r="G6" s="1">
        <f>E6-IF(ISBLANK(F6),0,F6)</f>
        <v>3610000</v>
      </c>
      <c r="H6" s="1">
        <f>IFERROR(G6/G50*100,0)</f>
        <v>3.21546272379086</v>
      </c>
    </row>
    <row r="7">
      <c r="A7" s="1">
        <v>6</v>
      </c>
      <c r="B7" s="1" t="str">
        <v>0816525</v>
      </c>
      <c r="C7" s="1" t="str">
        <v>루카랩컴퍼니</v>
      </c>
      <c r="D7" s="1" t="str">
        <v>문구</v>
      </c>
      <c r="E7" s="1">
        <v>3600000</v>
      </c>
      <c r="G7" s="1">
        <f>E7-IF(ISBLANK(F7),0,F7)</f>
        <v>3600000</v>
      </c>
      <c r="H7" s="1">
        <f>IFERROR(G7/G50*100,0)</f>
        <v>3.20655562483299</v>
      </c>
    </row>
    <row r="8">
      <c r="A8" s="1">
        <v>7</v>
      </c>
      <c r="B8" s="1" t="str">
        <v>0803833</v>
      </c>
      <c r="C8" s="1" t="str">
        <v>모나미(특정매입)</v>
      </c>
      <c r="D8" s="1" t="str">
        <v>특정매입</v>
      </c>
      <c r="E8" s="1">
        <v>3600000</v>
      </c>
      <c r="G8" s="1">
        <f>E8-IF(ISBLANK(F8),0,F8)</f>
        <v>3600000</v>
      </c>
      <c r="H8" s="1">
        <f>IFERROR(G8/G50*100,0)</f>
        <v>3.20655562483299</v>
      </c>
    </row>
    <row r="9">
      <c r="A9" s="1">
        <v>8</v>
      </c>
      <c r="B9" s="1" t="str">
        <v>0816555</v>
      </c>
      <c r="C9" s="1" t="str">
        <v>냐냐온 스튜디오</v>
      </c>
      <c r="D9" s="1" t="str">
        <v>문구</v>
      </c>
      <c r="E9" s="1">
        <v>3570000</v>
      </c>
      <c r="G9" s="1">
        <f>E9-IF(ISBLANK(F9),0,F9)</f>
        <v>3570000</v>
      </c>
      <c r="H9" s="1">
        <f>IFERROR(G9/G50*100,0)</f>
        <v>3.17983432795938</v>
      </c>
    </row>
    <row r="10">
      <c r="A10" s="1">
        <v>9</v>
      </c>
      <c r="B10" s="1" t="str">
        <v>0810456</v>
      </c>
      <c r="C10" s="1" t="str">
        <v>디앤에프조이필</v>
      </c>
      <c r="D10" s="1" t="str">
        <v>문구</v>
      </c>
      <c r="E10" s="1">
        <v>3460000</v>
      </c>
      <c r="G10" s="1">
        <f>E10-IF(ISBLANK(F10),0,F10)</f>
        <v>3460000</v>
      </c>
      <c r="H10" s="1">
        <f>IFERROR(G10/G50*100,0)</f>
        <v>3.08185623942282</v>
      </c>
    </row>
    <row r="11">
      <c r="A11" s="1">
        <v>10</v>
      </c>
      <c r="B11" s="1" t="str">
        <v>0818620</v>
      </c>
      <c r="C11" s="1" t="str">
        <v>더토브</v>
      </c>
      <c r="D11" s="1" t="str">
        <v>문구</v>
      </c>
      <c r="E11" s="1">
        <v>3400000</v>
      </c>
      <c r="G11" s="1">
        <f>E11-IF(ISBLANK(F11),0,F11)</f>
        <v>3400000</v>
      </c>
      <c r="H11" s="1">
        <f>IFERROR(G11/G50*100,0)</f>
        <v>3.0284136456756</v>
      </c>
    </row>
    <row r="12">
      <c r="A12" s="1">
        <v>11</v>
      </c>
      <c r="B12" s="1" t="str">
        <v>0817604</v>
      </c>
      <c r="C12" s="1" t="str">
        <v>비온뒤</v>
      </c>
      <c r="D12" s="1" t="str">
        <v>문구</v>
      </c>
      <c r="E12" s="1">
        <v>3340000</v>
      </c>
      <c r="G12" s="1">
        <f>E12-IF(ISBLANK(F12),0,F12)</f>
        <v>3340000</v>
      </c>
      <c r="H12" s="1">
        <f>IFERROR(G12/G50*100,0)</f>
        <v>2.97497105192839</v>
      </c>
    </row>
    <row r="13">
      <c r="A13" s="1">
        <v>12</v>
      </c>
      <c r="B13" s="1" t="str">
        <v>0817625</v>
      </c>
      <c r="C13" s="1" t="str">
        <v>대인커머스</v>
      </c>
      <c r="D13" s="1" t="str">
        <v>문구</v>
      </c>
      <c r="E13" s="1">
        <v>3320000</v>
      </c>
      <c r="G13" s="1">
        <f>E13-IF(ISBLANK(F13),0,F13)</f>
        <v>3320000</v>
      </c>
      <c r="H13" s="1">
        <f>IFERROR(G13/G50*100,0)</f>
        <v>2.95715685401265</v>
      </c>
    </row>
    <row r="14">
      <c r="A14" s="1">
        <v>13</v>
      </c>
      <c r="B14" s="1" t="str">
        <v>0811513</v>
      </c>
      <c r="C14" s="1" t="str">
        <v>캘리엠</v>
      </c>
      <c r="D14" s="1" t="str">
        <v>문구</v>
      </c>
      <c r="E14" s="1">
        <v>3220000</v>
      </c>
      <c r="G14" s="1">
        <f>E14-IF(ISBLANK(F14),0,F14)</f>
        <v>3220000</v>
      </c>
      <c r="H14" s="1">
        <f>IFERROR(G14/G50*100,0)</f>
        <v>2.86808586443395</v>
      </c>
    </row>
    <row r="15">
      <c r="A15" s="1">
        <v>14</v>
      </c>
      <c r="B15" s="1" t="str">
        <v>0810588</v>
      </c>
      <c r="C15" s="1" t="str">
        <v>케이디코퍼레이션</v>
      </c>
      <c r="D15" s="1" t="str">
        <v>문구</v>
      </c>
      <c r="E15" s="1">
        <v>3060000</v>
      </c>
      <c r="G15" s="1">
        <f>E15-IF(ISBLANK(F15),0,F15)</f>
        <v>3060000</v>
      </c>
      <c r="H15" s="1">
        <f>IFERROR(G15/G50*100,0)</f>
        <v>2.72557228110804</v>
      </c>
    </row>
    <row r="16">
      <c r="A16" s="1">
        <v>15</v>
      </c>
      <c r="B16" s="1" t="str">
        <v>0816796</v>
      </c>
      <c r="C16" s="1" t="str">
        <v>마이누</v>
      </c>
      <c r="D16" s="1" t="str">
        <v>문구</v>
      </c>
      <c r="E16" s="1">
        <v>2800000</v>
      </c>
      <c r="G16" s="1">
        <f>E16-IF(ISBLANK(F16),0,F16)</f>
        <v>2800000</v>
      </c>
      <c r="H16" s="1">
        <f>IFERROR(G16/G50*100,0)</f>
        <v>2.49398770820344</v>
      </c>
    </row>
    <row r="17">
      <c r="A17" s="1">
        <v>16</v>
      </c>
      <c r="B17" s="1" t="str">
        <v>0803080</v>
      </c>
      <c r="C17" s="1" t="str">
        <v>위드에버상사</v>
      </c>
      <c r="D17" s="1" t="str">
        <v>문구</v>
      </c>
      <c r="E17" s="1">
        <v>2670000</v>
      </c>
      <c r="G17" s="1">
        <f>E17-IF(ISBLANK(F17),0,F17)</f>
        <v>2670000</v>
      </c>
      <c r="H17" s="1">
        <f>IFERROR(G17/G50*100,0)</f>
        <v>2.37819542175114</v>
      </c>
    </row>
    <row r="18">
      <c r="A18" s="1">
        <v>17</v>
      </c>
      <c r="B18" s="1" t="str">
        <v>01B0504</v>
      </c>
      <c r="C18" s="1" t="str">
        <v>카카오엔터테인먼트</v>
      </c>
      <c r="D18" s="1" t="str">
        <v>음반</v>
      </c>
      <c r="E18" s="1">
        <v>2510000</v>
      </c>
      <c r="G18" s="1">
        <f>E18-IF(ISBLANK(F18),0,F18)</f>
        <v>2510000</v>
      </c>
      <c r="H18" s="1">
        <f>IFERROR(G18/G50*100,0)</f>
        <v>2.23568183842523</v>
      </c>
    </row>
    <row r="19">
      <c r="A19" s="1">
        <v>18</v>
      </c>
      <c r="B19" s="1" t="str">
        <v>0811795</v>
      </c>
      <c r="C19" s="1" t="str">
        <v>베르제마넷</v>
      </c>
      <c r="D19" s="1" t="str">
        <v>문구</v>
      </c>
      <c r="E19" s="1">
        <v>2410000</v>
      </c>
      <c r="G19" s="1">
        <f>E19-IF(ISBLANK(F19),0,F19)</f>
        <v>2410000</v>
      </c>
      <c r="H19" s="1">
        <f>IFERROR(G19/G50*100,0)</f>
        <v>2.14661084884653</v>
      </c>
    </row>
    <row r="20">
      <c r="A20" s="1">
        <v>19</v>
      </c>
      <c r="B20" s="1" t="str">
        <v>0803124</v>
      </c>
      <c r="C20" s="1" t="str">
        <v>아톰상사(특정매입)</v>
      </c>
      <c r="D20" s="1" t="str">
        <v>특정매입</v>
      </c>
      <c r="E20" s="1">
        <v>2380000</v>
      </c>
      <c r="G20" s="1">
        <f>E20-IF(ISBLANK(F20),0,F20)</f>
        <v>2380000</v>
      </c>
      <c r="H20" s="1">
        <f>IFERROR(G20/G50*100,0)</f>
        <v>2.11988955197292</v>
      </c>
    </row>
    <row r="21">
      <c r="A21" s="1">
        <v>20</v>
      </c>
      <c r="B21" s="1" t="str">
        <v>0803144</v>
      </c>
      <c r="C21" s="1" t="str">
        <v>씨케이세일즈</v>
      </c>
      <c r="D21" s="1" t="str">
        <v>문구</v>
      </c>
      <c r="E21" s="1">
        <v>2360000</v>
      </c>
      <c r="G21" s="1">
        <f>E21-IF(ISBLANK(F21),0,F21)</f>
        <v>2360000</v>
      </c>
      <c r="H21" s="1">
        <f>IFERROR(G21/G50*100,0)</f>
        <v>2.10207535405718</v>
      </c>
    </row>
    <row r="22">
      <c r="A22" s="1">
        <v>21</v>
      </c>
      <c r="B22" s="1" t="str">
        <v>0803159</v>
      </c>
      <c r="C22" s="1" t="str">
        <v>안테나샵</v>
      </c>
      <c r="D22" s="1" t="str">
        <v>문구</v>
      </c>
      <c r="E22" s="1">
        <v>2340000</v>
      </c>
      <c r="G22" s="1">
        <f>E22-IF(ISBLANK(F22),0,F22)</f>
        <v>2340000</v>
      </c>
      <c r="H22" s="1">
        <f>IFERROR(G22/G50*100,0)</f>
        <v>2.08426115614145</v>
      </c>
    </row>
    <row r="23">
      <c r="A23" s="1">
        <v>22</v>
      </c>
      <c r="B23" s="1" t="str">
        <v>0803158</v>
      </c>
      <c r="C23" s="1" t="str">
        <v>바이풀디자인</v>
      </c>
      <c r="D23" s="1" t="str">
        <v>문구</v>
      </c>
      <c r="E23" s="1">
        <v>2340000</v>
      </c>
      <c r="G23" s="1">
        <f>E23-IF(ISBLANK(F23),0,F23)</f>
        <v>2340000</v>
      </c>
      <c r="H23" s="1">
        <f>IFERROR(G23/G50*100,0)</f>
        <v>2.08426115614145</v>
      </c>
    </row>
    <row r="24">
      <c r="A24" s="1">
        <v>23</v>
      </c>
      <c r="B24" s="1" t="str">
        <v>0803186</v>
      </c>
      <c r="C24" s="1" t="str">
        <v>아이코닉</v>
      </c>
      <c r="D24" s="1" t="str">
        <v>문구</v>
      </c>
      <c r="E24" s="1">
        <v>2310000</v>
      </c>
      <c r="G24" s="1">
        <f>E24-IF(ISBLANK(F24),0,F24)</f>
        <v>2310000</v>
      </c>
      <c r="H24" s="1">
        <f>IFERROR(G24/G50*100,0)</f>
        <v>2.05753985926784</v>
      </c>
    </row>
    <row r="25">
      <c r="A25" s="1">
        <v>24</v>
      </c>
      <c r="B25" s="1" t="str">
        <v>0803187</v>
      </c>
      <c r="C25" s="1" t="str">
        <v>칠삼이일디자인</v>
      </c>
      <c r="D25" s="1" t="str">
        <v>문구</v>
      </c>
      <c r="E25" s="1">
        <v>2310000</v>
      </c>
      <c r="G25" s="1">
        <f>E25-IF(ISBLANK(F25),0,F25)</f>
        <v>2310000</v>
      </c>
      <c r="H25" s="1">
        <f>IFERROR(G25/G50*100,0)</f>
        <v>2.05753985926784</v>
      </c>
    </row>
    <row r="26">
      <c r="A26" s="1">
        <v>25</v>
      </c>
      <c r="B26" s="1" t="str">
        <v>01B0470</v>
      </c>
      <c r="C26" s="1" t="str">
        <v>드림어스컴퍼니</v>
      </c>
      <c r="D26" s="1" t="str">
        <v>음반</v>
      </c>
      <c r="E26" s="1">
        <v>2230000</v>
      </c>
      <c r="G26" s="1">
        <f>E26-IF(ISBLANK(F26),0,F26)</f>
        <v>2230000</v>
      </c>
      <c r="H26" s="1">
        <f>IFERROR(G26/G50*100,0)</f>
        <v>1.98628306760488</v>
      </c>
    </row>
    <row r="27">
      <c r="A27" s="1">
        <v>26</v>
      </c>
      <c r="B27" s="1" t="str">
        <v>01B0478</v>
      </c>
      <c r="C27" s="1" t="str">
        <v>와이지플러스</v>
      </c>
      <c r="D27" s="1" t="str">
        <v>음반</v>
      </c>
      <c r="E27" s="1">
        <v>2230000</v>
      </c>
      <c r="G27" s="1">
        <f>E27-IF(ISBLANK(F27),0,F27)</f>
        <v>2230000</v>
      </c>
      <c r="H27" s="1">
        <f>IFERROR(G27/G50*100,0)</f>
        <v>1.98628306760488</v>
      </c>
    </row>
    <row r="28">
      <c r="A28" s="1">
        <v>27</v>
      </c>
      <c r="B28" s="1" t="str">
        <v>0816903</v>
      </c>
      <c r="C28" s="1" t="str">
        <v>더시호</v>
      </c>
      <c r="D28" s="1" t="str">
        <v>문구</v>
      </c>
      <c r="E28" s="1">
        <v>2180000</v>
      </c>
      <c r="G28" s="1">
        <f>E28-IF(ISBLANK(F28),0,F28)</f>
        <v>2180000</v>
      </c>
      <c r="H28" s="1">
        <f>IFERROR(G28/G50*100,0)</f>
        <v>1.94174757281553</v>
      </c>
    </row>
    <row r="29">
      <c r="A29" s="1">
        <v>28</v>
      </c>
      <c r="B29" s="1" t="str">
        <v>0900216</v>
      </c>
      <c r="C29" s="1" t="str">
        <v>LEUCHTTURM</v>
      </c>
      <c r="D29" s="1" t="str">
        <v>해외문구</v>
      </c>
      <c r="E29" s="1">
        <v>2110000</v>
      </c>
      <c r="G29" s="1">
        <f>E29-IF(ISBLANK(F29),0,F29)</f>
        <v>2110000</v>
      </c>
      <c r="H29" s="1">
        <f>IFERROR(G29/G50*100,0)</f>
        <v>1.87939788011045</v>
      </c>
    </row>
    <row r="30">
      <c r="A30" s="1">
        <v>29</v>
      </c>
      <c r="B30" s="1" t="str">
        <v>0900224</v>
      </c>
      <c r="C30" s="1" t="str">
        <v>LIHIT LAB.,INC</v>
      </c>
      <c r="D30" s="1" t="str">
        <v>해외문구</v>
      </c>
      <c r="E30" s="1">
        <v>2100000</v>
      </c>
      <c r="G30" s="1">
        <f>E30-IF(ISBLANK(F30),0,F30)</f>
        <v>2100000</v>
      </c>
      <c r="H30" s="1">
        <f>IFERROR(G30/G50*100,0)</f>
        <v>1.87049078115258</v>
      </c>
    </row>
    <row r="31">
      <c r="A31" s="1">
        <v>30</v>
      </c>
      <c r="B31" s="1" t="str">
        <v>0900252</v>
      </c>
      <c r="C31" s="1" t="str">
        <v>HIGHTIDE CO.,LTD</v>
      </c>
      <c r="D31" s="1" t="str">
        <v>해외문구</v>
      </c>
      <c r="E31" s="1">
        <v>2070000</v>
      </c>
      <c r="F31" s="1">
        <v>310000</v>
      </c>
      <c r="G31" s="1">
        <f>E31-IF(ISBLANK(F31),0,F31)</f>
        <v>1760000</v>
      </c>
      <c r="H31" s="1">
        <f>IFERROR(G31/G50*100,0)</f>
        <v>1.56764941658502</v>
      </c>
    </row>
    <row r="32">
      <c r="A32" s="1">
        <v>31</v>
      </c>
      <c r="B32" s="1" t="str">
        <v>0803222</v>
      </c>
      <c r="C32" s="1" t="str">
        <v>아르디움</v>
      </c>
      <c r="D32" s="1" t="str">
        <v>문구</v>
      </c>
      <c r="E32" s="1">
        <v>2020000</v>
      </c>
      <c r="F32" s="1">
        <v>300000</v>
      </c>
      <c r="G32" s="1">
        <f>E32-IF(ISBLANK(F32),0,F32)</f>
        <v>1720000</v>
      </c>
      <c r="H32" s="1">
        <f>IFERROR(G32/G50*100,0)</f>
        <v>1.53202102075354</v>
      </c>
    </row>
    <row r="33">
      <c r="A33" s="1">
        <v>32</v>
      </c>
      <c r="B33" s="1" t="str">
        <v>0803255</v>
      </c>
      <c r="C33" s="1" t="str">
        <v>모닝글로리</v>
      </c>
      <c r="D33" s="1" t="str">
        <v>문구</v>
      </c>
      <c r="E33" s="1">
        <v>1980000</v>
      </c>
      <c r="G33" s="1">
        <f>E33-IF(ISBLANK(F33),0,F33)</f>
        <v>1980000</v>
      </c>
      <c r="H33" s="1">
        <f>IFERROR(G33/G50*100,0)</f>
        <v>1.76360559365815</v>
      </c>
    </row>
    <row r="34">
      <c r="A34" s="1">
        <v>33</v>
      </c>
      <c r="B34" s="1" t="str">
        <v>0803267</v>
      </c>
      <c r="C34" s="1" t="str">
        <v>플레플레</v>
      </c>
      <c r="D34" s="1" t="str">
        <v>문구</v>
      </c>
      <c r="E34" s="1">
        <v>1970000</v>
      </c>
      <c r="G34" s="1">
        <f>E34-IF(ISBLANK(F34),0,F34)</f>
        <v>1970000</v>
      </c>
      <c r="H34" s="1">
        <f>IFERROR(G34/G50*100,0)</f>
        <v>1.75469849470028</v>
      </c>
    </row>
    <row r="35">
      <c r="A35" s="1">
        <v>34</v>
      </c>
      <c r="B35" s="1" t="str">
        <v>0803289</v>
      </c>
      <c r="C35" s="1" t="str">
        <v>솜씨스템프</v>
      </c>
      <c r="D35" s="1" t="str">
        <v>문구</v>
      </c>
      <c r="E35" s="1">
        <v>1950000</v>
      </c>
      <c r="G35" s="1">
        <f>E35-IF(ISBLANK(F35),0,F35)</f>
        <v>1950000</v>
      </c>
      <c r="H35" s="1">
        <f>IFERROR(G35/G50*100,0)</f>
        <v>1.73688429678454</v>
      </c>
    </row>
    <row r="36">
      <c r="A36" s="1">
        <v>35</v>
      </c>
      <c r="B36" s="1" t="str">
        <v>0818036</v>
      </c>
      <c r="C36" s="1" t="str">
        <v>페펜스튜디오</v>
      </c>
      <c r="D36" s="1" t="str">
        <v>문구</v>
      </c>
      <c r="E36" s="1">
        <v>1800000</v>
      </c>
      <c r="G36" s="1">
        <f>E36-IF(ISBLANK(F36),0,F36)</f>
        <v>1800000</v>
      </c>
      <c r="H36" s="1">
        <f>IFERROR(G36/G50*100,0)</f>
        <v>1.6032778124165</v>
      </c>
    </row>
    <row r="37">
      <c r="A37" s="1">
        <v>36</v>
      </c>
      <c r="B37" s="1" t="str">
        <v>0812988</v>
      </c>
      <c r="C37" s="1" t="str">
        <v>모트모트</v>
      </c>
      <c r="D37" s="1" t="str">
        <v>문구</v>
      </c>
      <c r="E37" s="1">
        <v>1780000</v>
      </c>
      <c r="G37" s="1">
        <f>E37-IF(ISBLANK(F37),0,F37)</f>
        <v>1780000</v>
      </c>
      <c r="H37" s="1">
        <f>IFERROR(G37/G50*100,0)</f>
        <v>1.58546361450076</v>
      </c>
    </row>
    <row r="38">
      <c r="A38" s="1">
        <v>37</v>
      </c>
      <c r="B38" s="1" t="str">
        <v>0803303</v>
      </c>
      <c r="C38" s="1" t="str">
        <v>이투컬렉션</v>
      </c>
      <c r="D38" s="1" t="str">
        <v>문구</v>
      </c>
      <c r="E38" s="1">
        <v>1680000</v>
      </c>
      <c r="G38" s="1">
        <f>E38-IF(ISBLANK(F38),0,F38)</f>
        <v>1680000</v>
      </c>
      <c r="H38" s="1">
        <f>IFERROR(G38/G50*100,0)</f>
        <v>1.49639262492206</v>
      </c>
    </row>
    <row r="39">
      <c r="A39" s="1">
        <v>38</v>
      </c>
      <c r="B39" s="1" t="str">
        <v>0807485</v>
      </c>
      <c r="C39" s="1" t="str">
        <v>대시앤도트</v>
      </c>
      <c r="D39" s="1" t="str">
        <v>문구</v>
      </c>
      <c r="E39" s="1">
        <v>1540000</v>
      </c>
      <c r="G39" s="1">
        <f>E39-IF(ISBLANK(F39),0,F39)</f>
        <v>1540000</v>
      </c>
      <c r="H39" s="1">
        <f>IFERROR(G39/G50*100,0)</f>
        <v>1.37169323951189</v>
      </c>
    </row>
    <row r="40">
      <c r="A40" s="1">
        <v>39</v>
      </c>
      <c r="B40" s="1" t="str">
        <v>0807481</v>
      </c>
      <c r="C40" s="1" t="str">
        <v>골드디자인</v>
      </c>
      <c r="D40" s="1" t="str">
        <v>문구</v>
      </c>
      <c r="E40" s="1">
        <v>1540000</v>
      </c>
      <c r="G40" s="1">
        <f>E40-IF(ISBLANK(F40),0,F40)</f>
        <v>1540000</v>
      </c>
      <c r="H40" s="1">
        <f>IFERROR(G40/G50*100,0)</f>
        <v>1.37169323951189</v>
      </c>
    </row>
    <row r="41">
      <c r="A41" s="1">
        <v>40</v>
      </c>
      <c r="B41" s="1" t="str">
        <v>0807497</v>
      </c>
      <c r="C41" s="1" t="str">
        <v>학산문화사</v>
      </c>
      <c r="D41" s="1" t="str">
        <v>문구</v>
      </c>
      <c r="E41" s="1">
        <v>1530000</v>
      </c>
      <c r="G41" s="1">
        <f>E41-IF(ISBLANK(F41),0,F41)</f>
        <v>1530000</v>
      </c>
      <c r="H41" s="1">
        <f>IFERROR(G41/G50*100,0)</f>
        <v>1.36278614055402</v>
      </c>
    </row>
    <row r="42">
      <c r="A42" s="1">
        <v>41</v>
      </c>
      <c r="B42" s="1" t="str">
        <v>0800334</v>
      </c>
      <c r="C42" s="1" t="str">
        <v>아이비스코리아</v>
      </c>
      <c r="D42" s="1" t="str">
        <v>문구</v>
      </c>
      <c r="E42" s="1">
        <v>1410000</v>
      </c>
      <c r="G42" s="1">
        <f>E42-IF(ISBLANK(F42),0,F42)</f>
        <v>1410000</v>
      </c>
      <c r="H42" s="1">
        <f>IFERROR(G42/G50*100,0)</f>
        <v>1.25590095305959</v>
      </c>
    </row>
    <row r="43">
      <c r="A43" s="1">
        <v>42</v>
      </c>
      <c r="B43" s="1" t="str">
        <v>0817135</v>
      </c>
      <c r="C43" s="1" t="str">
        <v>해피썬</v>
      </c>
      <c r="D43" s="1" t="str">
        <v>문구</v>
      </c>
      <c r="E43" s="1">
        <v>1360000</v>
      </c>
      <c r="G43" s="1">
        <f>E43-IF(ISBLANK(F43),0,F43)</f>
        <v>1360000</v>
      </c>
      <c r="H43" s="1">
        <f>IFERROR(G43/G50*100,0)</f>
        <v>1.21136545827024</v>
      </c>
    </row>
    <row r="44">
      <c r="A44" s="1">
        <v>43</v>
      </c>
      <c r="B44" s="1" t="str">
        <v>0816166</v>
      </c>
      <c r="C44" s="1" t="str">
        <v>해밀</v>
      </c>
      <c r="D44" s="1" t="str">
        <v>문구</v>
      </c>
      <c r="E44" s="1">
        <v>1250000</v>
      </c>
      <c r="G44" s="1">
        <f>E44-IF(ISBLANK(F44),0,F44)</f>
        <v>1250000</v>
      </c>
      <c r="H44" s="1">
        <f>IFERROR(G44/G50*100,0)</f>
        <v>1.11338736973368</v>
      </c>
    </row>
    <row r="45">
      <c r="A45" s="1">
        <v>44</v>
      </c>
      <c r="B45" s="1" t="str">
        <v>0817225</v>
      </c>
      <c r="C45" s="1" t="str">
        <v>도혜드로잉</v>
      </c>
      <c r="D45" s="1" t="str">
        <v>문구</v>
      </c>
      <c r="E45" s="1">
        <v>1010000</v>
      </c>
      <c r="G45" s="1">
        <f>E45-IF(ISBLANK(F45),0,F45)</f>
        <v>1010000</v>
      </c>
      <c r="H45" s="1">
        <f>IFERROR(G45/G50*100,0)</f>
        <v>0.899616994744812</v>
      </c>
    </row>
    <row r="46">
      <c r="A46" s="1">
        <v>45</v>
      </c>
      <c r="B46" s="1" t="str">
        <v>0803503</v>
      </c>
      <c r="C46" s="1" t="str">
        <v>로마네</v>
      </c>
      <c r="D46" s="1" t="str">
        <v>문구</v>
      </c>
      <c r="E46" s="1">
        <v>960000</v>
      </c>
      <c r="G46" s="1">
        <f>E46-IF(ISBLANK(F46),0,F46)</f>
        <v>960000</v>
      </c>
      <c r="H46" s="1">
        <f>IFERROR(G46/G50*100,0)</f>
        <v>0.855081499955465</v>
      </c>
    </row>
    <row r="47">
      <c r="A47" s="1">
        <v>46</v>
      </c>
      <c r="B47" s="1" t="str">
        <v>0803527</v>
      </c>
      <c r="C47" s="1" t="str">
        <v>프론티어통상</v>
      </c>
      <c r="D47" s="1" t="str">
        <v>문구</v>
      </c>
      <c r="E47" s="1">
        <v>940000</v>
      </c>
      <c r="G47" s="1">
        <f>E47-IF(ISBLANK(F47),0,F47)</f>
        <v>940000</v>
      </c>
      <c r="H47" s="1">
        <f>IFERROR(G47/G50*100,0)</f>
        <v>0.837267302039726</v>
      </c>
    </row>
    <row r="48">
      <c r="A48" s="1">
        <v>47</v>
      </c>
      <c r="B48" s="1" t="str">
        <v>0816312</v>
      </c>
      <c r="C48" s="1" t="str">
        <v>엠젯패밀리</v>
      </c>
      <c r="D48" s="1" t="str">
        <v>문구</v>
      </c>
      <c r="E48" s="1">
        <v>590000</v>
      </c>
      <c r="F48" s="1">
        <v>90000</v>
      </c>
      <c r="G48" s="1">
        <f>E48-IF(ISBLANK(F48),0,F48)</f>
        <v>500000</v>
      </c>
      <c r="H48" s="1">
        <f>IFERROR(G48/G50*100,0)</f>
        <v>0.445354947893471</v>
      </c>
    </row>
    <row r="49">
      <c r="A49" s="1">
        <v>48</v>
      </c>
      <c r="B49" s="1" t="str">
        <v>0803690</v>
      </c>
      <c r="C49" s="1" t="str">
        <v>인디고</v>
      </c>
      <c r="D49" s="1" t="str">
        <v>문구</v>
      </c>
      <c r="E49" s="1">
        <v>500000</v>
      </c>
      <c r="G49" s="1">
        <f>E49-IF(ISBLANK(F49),0,F49)</f>
        <v>500000</v>
      </c>
      <c r="H49" s="1">
        <f>IFERROR(G49/G50*100,0)</f>
        <v>0.445354947893471</v>
      </c>
    </row>
    <row r="50">
      <c r="C50" s="1" t="str">
        <v>합계</v>
      </c>
      <c r="E50" s="1">
        <f>SUM(E2:E49)</f>
        <v>112970000</v>
      </c>
      <c r="F50" s="1">
        <f>SUM(F2:F49)</f>
        <v>700000</v>
      </c>
      <c r="G50" s="1">
        <f>SUM(G2:G49)</f>
        <v>112270000</v>
      </c>
      <c r="H50" s="1">
        <v>100</v>
      </c>
    </row>
  </sheetData>
  <pageMargins left="0.75" right="0.75" top="1" bottom="1" header="0.511811023622047" footer="0.511811023622047"/>
  <ignoredErrors>
    <ignoredError numberStoredAsText="1" sqref="A1:H5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50"/>
  <sheetViews>
    <sheetView workbookViewId="0" rightToLeft="0"/>
  </sheetViews>
  <sheetData>
    <row r="1">
      <c r="A1" s="1" t="str">
        <v>순위</v>
      </c>
      <c r="B1" s="1" t="str">
        <v>매입처코드</v>
      </c>
      <c r="C1" s="1" t="str">
        <v>매입처명</v>
      </c>
      <c r="D1" s="1" t="str">
        <v>구분</v>
      </c>
      <c r="E1" s="1" t="str">
        <v>매출금액</v>
      </c>
      <c r="F1" s="1" t="str">
        <v>매출제외금액</v>
      </c>
      <c r="G1" s="1" t="str">
        <v>최종매출금액</v>
      </c>
      <c r="H1" s="1" t="str">
        <v>점유율(%)</v>
      </c>
    </row>
    <row r="2">
      <c r="A2" s="1">
        <v>1</v>
      </c>
      <c r="B2" s="1" t="str">
        <v>0807497</v>
      </c>
      <c r="C2" s="1" t="str">
        <v>학산문화사</v>
      </c>
      <c r="D2" s="1" t="str">
        <v>문구</v>
      </c>
      <c r="E2" s="1">
        <v>2420000</v>
      </c>
      <c r="G2" s="1">
        <f>E2-IF(ISBLANK(F2),0,F2)</f>
        <v>2420000</v>
      </c>
      <c r="H2" s="1">
        <f>IFERROR(G2/G50*100,0)</f>
        <v>3.50217076700434</v>
      </c>
    </row>
    <row r="3">
      <c r="A3" s="1">
        <v>2</v>
      </c>
      <c r="B3" s="1" t="str">
        <v>0807485</v>
      </c>
      <c r="C3" s="1" t="str">
        <v>대시앤도트</v>
      </c>
      <c r="D3" s="1" t="str">
        <v>문구</v>
      </c>
      <c r="E3" s="1">
        <v>2410000</v>
      </c>
      <c r="G3" s="1">
        <f>E3-IF(ISBLANK(F3),0,F3)</f>
        <v>2410000</v>
      </c>
      <c r="H3" s="1">
        <f>IFERROR(G3/G50*100,0)</f>
        <v>3.4876989869754</v>
      </c>
    </row>
    <row r="4">
      <c r="A4" s="1">
        <v>3</v>
      </c>
      <c r="B4" s="1" t="str">
        <v>0807481</v>
      </c>
      <c r="C4" s="1" t="str">
        <v>골드디자인</v>
      </c>
      <c r="D4" s="1" t="str">
        <v>문구</v>
      </c>
      <c r="E4" s="1">
        <v>2410000</v>
      </c>
      <c r="F4" s="1">
        <v>360000</v>
      </c>
      <c r="G4" s="1">
        <f>E4-IF(ISBLANK(F4),0,F4)</f>
        <v>2050000</v>
      </c>
      <c r="H4" s="1">
        <f>IFERROR(G4/G50*100,0)</f>
        <v>2.96671490593343</v>
      </c>
    </row>
    <row r="5">
      <c r="A5" s="1">
        <v>4</v>
      </c>
      <c r="B5" s="1" t="str">
        <v>0803303</v>
      </c>
      <c r="C5" s="1" t="str">
        <v>이투컬렉션</v>
      </c>
      <c r="D5" s="1" t="str">
        <v>문구</v>
      </c>
      <c r="E5" s="1">
        <v>2330000</v>
      </c>
      <c r="G5" s="1">
        <f>E5-IF(ISBLANK(F5),0,F5)</f>
        <v>2330000</v>
      </c>
      <c r="H5" s="1">
        <f>IFERROR(G5/G50*100,0)</f>
        <v>3.37192474674385</v>
      </c>
    </row>
    <row r="6">
      <c r="A6" s="1">
        <v>5</v>
      </c>
      <c r="B6" s="1" t="str">
        <v>0812988</v>
      </c>
      <c r="C6" s="1" t="str">
        <v>모트모트</v>
      </c>
      <c r="D6" s="1" t="str">
        <v>문구</v>
      </c>
      <c r="E6" s="1">
        <v>2270000</v>
      </c>
      <c r="G6" s="1">
        <f>E6-IF(ISBLANK(F6),0,F6)</f>
        <v>2270000</v>
      </c>
      <c r="H6" s="1">
        <f>IFERROR(G6/G50*100,0)</f>
        <v>3.28509406657019</v>
      </c>
    </row>
    <row r="7">
      <c r="A7" s="1">
        <v>6</v>
      </c>
      <c r="B7" s="1" t="str">
        <v>0818036</v>
      </c>
      <c r="C7" s="1" t="str">
        <v>페펜스튜디오</v>
      </c>
      <c r="D7" s="1" t="str">
        <v>문구</v>
      </c>
      <c r="E7" s="1">
        <v>2260000</v>
      </c>
      <c r="G7" s="1">
        <f>E7-IF(ISBLANK(F7),0,F7)</f>
        <v>2260000</v>
      </c>
      <c r="H7" s="1">
        <f>IFERROR(G7/G50*100,0)</f>
        <v>3.27062228654124</v>
      </c>
    </row>
    <row r="8">
      <c r="A8" s="1">
        <v>7</v>
      </c>
      <c r="B8" s="1" t="str">
        <v>0803289</v>
      </c>
      <c r="C8" s="1" t="str">
        <v>솜씨스템프</v>
      </c>
      <c r="D8" s="1" t="str">
        <v>문구</v>
      </c>
      <c r="E8" s="1">
        <v>2170000</v>
      </c>
      <c r="G8" s="1">
        <f>E8-IF(ISBLANK(F8),0,F8)</f>
        <v>2170000</v>
      </c>
      <c r="H8" s="1">
        <f>IFERROR(G8/G50*100,0)</f>
        <v>3.14037626628075</v>
      </c>
    </row>
    <row r="9">
      <c r="A9" s="1">
        <v>8</v>
      </c>
      <c r="B9" s="1" t="str">
        <v>0803267</v>
      </c>
      <c r="C9" s="1" t="str">
        <v>플레플레</v>
      </c>
      <c r="D9" s="1" t="str">
        <v>문구</v>
      </c>
      <c r="E9" s="1">
        <v>2150000</v>
      </c>
      <c r="G9" s="1">
        <f>E9-IF(ISBLANK(F9),0,F9)</f>
        <v>2150000</v>
      </c>
      <c r="H9" s="1">
        <f>IFERROR(G9/G50*100,0)</f>
        <v>3.11143270622287</v>
      </c>
    </row>
    <row r="10">
      <c r="A10" s="1">
        <v>9</v>
      </c>
      <c r="B10" s="1" t="str">
        <v>0803255</v>
      </c>
      <c r="C10" s="1" t="str">
        <v>모닝글로리</v>
      </c>
      <c r="D10" s="1" t="str">
        <v>문구</v>
      </c>
      <c r="E10" s="1">
        <v>2150000</v>
      </c>
      <c r="G10" s="1">
        <f>E10-IF(ISBLANK(F10),0,F10)</f>
        <v>2150000</v>
      </c>
      <c r="H10" s="1">
        <f>IFERROR(G10/G50*100,0)</f>
        <v>3.11143270622287</v>
      </c>
    </row>
    <row r="11">
      <c r="A11" s="1">
        <v>10</v>
      </c>
      <c r="B11" s="1" t="str">
        <v>0803222</v>
      </c>
      <c r="C11" s="1" t="str">
        <v>아르디움</v>
      </c>
      <c r="D11" s="1" t="str">
        <v>문구</v>
      </c>
      <c r="E11" s="1">
        <v>2130000</v>
      </c>
      <c r="G11" s="1">
        <f>E11-IF(ISBLANK(F11),0,F11)</f>
        <v>2130000</v>
      </c>
      <c r="H11" s="1">
        <f>IFERROR(G11/G50*100,0)</f>
        <v>3.08248914616498</v>
      </c>
    </row>
    <row r="12">
      <c r="A12" s="1">
        <v>11</v>
      </c>
      <c r="B12" s="1" t="str">
        <v>0900252</v>
      </c>
      <c r="C12" s="1" t="str">
        <v>HIGHTIDE CO.,LTD</v>
      </c>
      <c r="D12" s="1" t="str">
        <v>해외문구</v>
      </c>
      <c r="E12" s="1">
        <v>2100000</v>
      </c>
      <c r="G12" s="1">
        <f>E12-IF(ISBLANK(F12),0,F12)</f>
        <v>2100000</v>
      </c>
      <c r="H12" s="1">
        <f>IFERROR(G12/G50*100,0)</f>
        <v>3.03907380607815</v>
      </c>
    </row>
    <row r="13">
      <c r="A13" s="1">
        <v>12</v>
      </c>
      <c r="B13" s="1" t="str">
        <v>0900224</v>
      </c>
      <c r="C13" s="1" t="str">
        <v>LIHIT LAB.,INC</v>
      </c>
      <c r="D13" s="1" t="str">
        <v>해외문구</v>
      </c>
      <c r="E13" s="1">
        <v>2080000</v>
      </c>
      <c r="G13" s="1">
        <f>E13-IF(ISBLANK(F13),0,F13)</f>
        <v>2080000</v>
      </c>
      <c r="H13" s="1">
        <f>IFERROR(G13/G50*100,0)</f>
        <v>3.01013024602026</v>
      </c>
    </row>
    <row r="14">
      <c r="A14" s="1">
        <v>13</v>
      </c>
      <c r="B14" s="1" t="str">
        <v>0900216</v>
      </c>
      <c r="C14" s="1" t="str">
        <v>LEUCHTTURM</v>
      </c>
      <c r="D14" s="1" t="str">
        <v>해외문구</v>
      </c>
      <c r="E14" s="1">
        <v>2070000</v>
      </c>
      <c r="G14" s="1">
        <f>E14-IF(ISBLANK(F14),0,F14)</f>
        <v>2070000</v>
      </c>
      <c r="H14" s="1">
        <f>IFERROR(G14/G50*100,0)</f>
        <v>2.99565846599132</v>
      </c>
    </row>
    <row r="15">
      <c r="A15" s="1">
        <v>14</v>
      </c>
      <c r="B15" s="1" t="str">
        <v>0816903</v>
      </c>
      <c r="C15" s="1" t="str">
        <v>더시호</v>
      </c>
      <c r="D15" s="1" t="str">
        <v>문구</v>
      </c>
      <c r="E15" s="1">
        <v>2030000</v>
      </c>
      <c r="G15" s="1">
        <f>E15-IF(ISBLANK(F15),0,F15)</f>
        <v>2030000</v>
      </c>
      <c r="H15" s="1">
        <f>IFERROR(G15/G50*100,0)</f>
        <v>2.93777134587554</v>
      </c>
    </row>
    <row r="16">
      <c r="A16" s="1">
        <v>15</v>
      </c>
      <c r="B16" s="1" t="str">
        <v>0803186</v>
      </c>
      <c r="C16" s="1" t="str">
        <v>아이코닉</v>
      </c>
      <c r="D16" s="1" t="str">
        <v>문구</v>
      </c>
      <c r="E16" s="1">
        <v>1950000</v>
      </c>
      <c r="G16" s="1">
        <f>E16-IF(ISBLANK(F16),0,F16)</f>
        <v>1950000</v>
      </c>
      <c r="H16" s="1">
        <f>IFERROR(G16/G50*100,0)</f>
        <v>2.82199710564399</v>
      </c>
    </row>
    <row r="17">
      <c r="A17" s="1">
        <v>16</v>
      </c>
      <c r="B17" s="1" t="str">
        <v>0803187</v>
      </c>
      <c r="C17" s="1" t="str">
        <v>칠삼이일디자인</v>
      </c>
      <c r="D17" s="1" t="str">
        <v>문구</v>
      </c>
      <c r="E17" s="1">
        <v>1950000</v>
      </c>
      <c r="G17" s="1">
        <f>E17-IF(ISBLANK(F17),0,F17)</f>
        <v>1950000</v>
      </c>
      <c r="H17" s="1">
        <f>IFERROR(G17/G50*100,0)</f>
        <v>2.82199710564399</v>
      </c>
    </row>
    <row r="18">
      <c r="A18" s="1">
        <v>17</v>
      </c>
      <c r="B18" s="1" t="str">
        <v>0803159</v>
      </c>
      <c r="C18" s="1" t="str">
        <v>안테나샵</v>
      </c>
      <c r="D18" s="1" t="str">
        <v>문구</v>
      </c>
      <c r="E18" s="1">
        <v>1930000</v>
      </c>
      <c r="G18" s="1">
        <f>E18-IF(ISBLANK(F18),0,F18)</f>
        <v>1930000</v>
      </c>
      <c r="H18" s="1">
        <f>IFERROR(G18/G50*100,0)</f>
        <v>2.79305354558611</v>
      </c>
    </row>
    <row r="19">
      <c r="A19" s="1">
        <v>18</v>
      </c>
      <c r="B19" s="1" t="str">
        <v>0803158</v>
      </c>
      <c r="C19" s="1" t="str">
        <v>바이풀디자인</v>
      </c>
      <c r="D19" s="1" t="str">
        <v>문구</v>
      </c>
      <c r="E19" s="1">
        <v>1930000</v>
      </c>
      <c r="G19" s="1">
        <f>E19-IF(ISBLANK(F19),0,F19)</f>
        <v>1930000</v>
      </c>
      <c r="H19" s="1">
        <f>IFERROR(G19/G50*100,0)</f>
        <v>2.79305354558611</v>
      </c>
    </row>
    <row r="20">
      <c r="A20" s="1">
        <v>19</v>
      </c>
      <c r="B20" s="1" t="str">
        <v>0803144</v>
      </c>
      <c r="C20" s="1" t="str">
        <v>씨케이세일즈</v>
      </c>
      <c r="D20" s="1" t="str">
        <v>문구</v>
      </c>
      <c r="E20" s="1">
        <v>1920000</v>
      </c>
      <c r="G20" s="1">
        <f>E20-IF(ISBLANK(F20),0,F20)</f>
        <v>1920000</v>
      </c>
      <c r="H20" s="1">
        <f>IFERROR(G20/G50*100,0)</f>
        <v>2.77858176555716</v>
      </c>
    </row>
    <row r="21">
      <c r="A21" s="1">
        <v>20</v>
      </c>
      <c r="B21" s="1" t="str">
        <v>0803124</v>
      </c>
      <c r="C21" s="1" t="str">
        <v>아톰상사(특정매입)</v>
      </c>
      <c r="D21" s="1" t="str">
        <v>특정매입</v>
      </c>
      <c r="E21" s="1">
        <v>1910000</v>
      </c>
      <c r="G21" s="1">
        <f>E21-IF(ISBLANK(F21),0,F21)</f>
        <v>1910000</v>
      </c>
      <c r="H21" s="1">
        <f>IFERROR(G21/G50*100,0)</f>
        <v>2.76410998552822</v>
      </c>
    </row>
    <row r="22">
      <c r="A22" s="1">
        <v>21</v>
      </c>
      <c r="B22" s="1" t="str">
        <v>0811795</v>
      </c>
      <c r="C22" s="1" t="str">
        <v>베르제마넷</v>
      </c>
      <c r="D22" s="1" t="str">
        <v>문구</v>
      </c>
      <c r="E22" s="1">
        <v>1890000</v>
      </c>
      <c r="G22" s="1">
        <f>E22-IF(ISBLANK(F22),0,F22)</f>
        <v>1890000</v>
      </c>
      <c r="H22" s="1">
        <f>IFERROR(G22/G50*100,0)</f>
        <v>2.73516642547033</v>
      </c>
    </row>
    <row r="23">
      <c r="A23" s="1">
        <v>22</v>
      </c>
      <c r="B23" s="1" t="str">
        <v>0803080</v>
      </c>
      <c r="C23" s="1" t="str">
        <v>위드에버상사</v>
      </c>
      <c r="D23" s="1" t="str">
        <v>문구</v>
      </c>
      <c r="E23" s="1">
        <v>1730000</v>
      </c>
      <c r="G23" s="1">
        <f>E23-IF(ISBLANK(F23),0,F23)</f>
        <v>1730000</v>
      </c>
      <c r="H23" s="1">
        <f>IFERROR(G23/G50*100,0)</f>
        <v>2.50361794500724</v>
      </c>
    </row>
    <row r="24">
      <c r="A24" s="1">
        <v>23</v>
      </c>
      <c r="B24" s="1" t="str">
        <v>0816796</v>
      </c>
      <c r="C24" s="1" t="str">
        <v>마이누</v>
      </c>
      <c r="D24" s="1" t="str">
        <v>문구</v>
      </c>
      <c r="E24" s="1">
        <v>1660000</v>
      </c>
      <c r="G24" s="1">
        <f>E24-IF(ISBLANK(F24),0,F24)</f>
        <v>1660000</v>
      </c>
      <c r="H24" s="1">
        <f>IFERROR(G24/G50*100,0)</f>
        <v>2.40231548480463</v>
      </c>
    </row>
    <row r="25">
      <c r="A25" s="1">
        <v>24</v>
      </c>
      <c r="B25" s="1" t="str">
        <v>0810588</v>
      </c>
      <c r="C25" s="1" t="str">
        <v>케이디코퍼레이션</v>
      </c>
      <c r="D25" s="1" t="str">
        <v>문구</v>
      </c>
      <c r="E25" s="1">
        <v>1500000</v>
      </c>
      <c r="G25" s="1">
        <f>E25-IF(ISBLANK(F25),0,F25)</f>
        <v>1500000</v>
      </c>
      <c r="H25" s="1">
        <f>IFERROR(G25/G50*100,0)</f>
        <v>2.17076700434153</v>
      </c>
    </row>
    <row r="26">
      <c r="A26" s="1">
        <v>25</v>
      </c>
      <c r="B26" s="1" t="str">
        <v>0811513</v>
      </c>
      <c r="C26" s="1" t="str">
        <v>캘리엠</v>
      </c>
      <c r="D26" s="1" t="str">
        <v>문구</v>
      </c>
      <c r="E26" s="1">
        <v>1400000</v>
      </c>
      <c r="G26" s="1">
        <f>E26-IF(ISBLANK(F26),0,F26)</f>
        <v>1400000</v>
      </c>
      <c r="H26" s="1">
        <f>IFERROR(G26/G50*100,0)</f>
        <v>2.0260492040521</v>
      </c>
    </row>
    <row r="27">
      <c r="A27" s="1">
        <v>26</v>
      </c>
      <c r="B27" s="1" t="str">
        <v>0817625</v>
      </c>
      <c r="C27" s="1" t="str">
        <v>대인커머스</v>
      </c>
      <c r="D27" s="1" t="str">
        <v>문구</v>
      </c>
      <c r="E27" s="1">
        <v>1350000</v>
      </c>
      <c r="G27" s="1">
        <f>E27-IF(ISBLANK(F27),0,F27)</f>
        <v>1350000</v>
      </c>
      <c r="H27" s="1">
        <f>IFERROR(G27/G50*100,0)</f>
        <v>1.95369030390738</v>
      </c>
    </row>
    <row r="28">
      <c r="A28" s="1">
        <v>27</v>
      </c>
      <c r="B28" s="1" t="str">
        <v>0817604</v>
      </c>
      <c r="C28" s="1" t="str">
        <v>비온뒤</v>
      </c>
      <c r="D28" s="1" t="str">
        <v>문구</v>
      </c>
      <c r="E28" s="1">
        <v>1330000</v>
      </c>
      <c r="G28" s="1">
        <f>E28-IF(ISBLANK(F28),0,F28)</f>
        <v>1330000</v>
      </c>
      <c r="H28" s="1">
        <f>IFERROR(G28/G50*100,0)</f>
        <v>1.92474674384949</v>
      </c>
    </row>
    <row r="29">
      <c r="A29" s="1">
        <v>28</v>
      </c>
      <c r="B29" s="1" t="str">
        <v>0818620</v>
      </c>
      <c r="C29" s="1" t="str">
        <v>더토브</v>
      </c>
      <c r="D29" s="1" t="str">
        <v>문구</v>
      </c>
      <c r="E29" s="1">
        <v>1300000</v>
      </c>
      <c r="G29" s="1">
        <f>E29-IF(ISBLANK(F29),0,F29)</f>
        <v>1300000</v>
      </c>
      <c r="H29" s="1">
        <f>IFERROR(G29/G50*100,0)</f>
        <v>1.88133140376266</v>
      </c>
    </row>
    <row r="30">
      <c r="A30" s="1">
        <v>29</v>
      </c>
      <c r="B30" s="1" t="str">
        <v>0810456</v>
      </c>
      <c r="C30" s="1" t="str">
        <v>디앤에프조이필</v>
      </c>
      <c r="D30" s="1" t="str">
        <v>문구</v>
      </c>
      <c r="E30" s="1">
        <v>1260000</v>
      </c>
      <c r="G30" s="1">
        <f>E30-IF(ISBLANK(F30),0,F30)</f>
        <v>1260000</v>
      </c>
      <c r="H30" s="1">
        <f>IFERROR(G30/G50*100,0)</f>
        <v>1.82344428364689</v>
      </c>
    </row>
    <row r="31">
      <c r="A31" s="1">
        <v>30</v>
      </c>
      <c r="B31" s="1" t="str">
        <v>0816555</v>
      </c>
      <c r="C31" s="1" t="str">
        <v>냐냐온 스튜디오</v>
      </c>
      <c r="D31" s="1" t="str">
        <v>문구</v>
      </c>
      <c r="E31" s="1">
        <v>1200000</v>
      </c>
      <c r="G31" s="1">
        <f>E31-IF(ISBLANK(F31),0,F31)</f>
        <v>1200000</v>
      </c>
      <c r="H31" s="1">
        <f>IFERROR(G31/G50*100,0)</f>
        <v>1.73661360347323</v>
      </c>
    </row>
    <row r="32">
      <c r="A32" s="1">
        <v>31</v>
      </c>
      <c r="B32" s="1" t="str">
        <v>0816525</v>
      </c>
      <c r="C32" s="1" t="str">
        <v>루카랩컴퍼니</v>
      </c>
      <c r="D32" s="1" t="str">
        <v>문구</v>
      </c>
      <c r="E32" s="1">
        <v>1180000</v>
      </c>
      <c r="G32" s="1">
        <f>E32-IF(ISBLANK(F32),0,F32)</f>
        <v>1180000</v>
      </c>
      <c r="H32" s="1">
        <f>IFERROR(G32/G50*100,0)</f>
        <v>1.70767004341534</v>
      </c>
    </row>
    <row r="33">
      <c r="A33" s="1">
        <v>32</v>
      </c>
      <c r="B33" s="1" t="str">
        <v>0803833</v>
      </c>
      <c r="C33" s="1" t="str">
        <v>모나미(특정매입)</v>
      </c>
      <c r="D33" s="1" t="str">
        <v>특정매입</v>
      </c>
      <c r="E33" s="1">
        <v>1180000</v>
      </c>
      <c r="G33" s="1">
        <f>E33-IF(ISBLANK(F33),0,F33)</f>
        <v>1180000</v>
      </c>
      <c r="H33" s="1">
        <f>IFERROR(G33/G50*100,0)</f>
        <v>1.70767004341534</v>
      </c>
    </row>
    <row r="34">
      <c r="A34" s="1">
        <v>33</v>
      </c>
      <c r="B34" s="1" t="str">
        <v>0803825</v>
      </c>
      <c r="C34" s="1" t="str">
        <v>정인통상</v>
      </c>
      <c r="D34" s="1" t="str">
        <v>문구</v>
      </c>
      <c r="E34" s="1">
        <v>1170000</v>
      </c>
      <c r="G34" s="1">
        <f>E34-IF(ISBLANK(F34),0,F34)</f>
        <v>1170000</v>
      </c>
      <c r="H34" s="1">
        <f>IFERROR(G34/G50*100,0)</f>
        <v>1.6931982633864</v>
      </c>
    </row>
    <row r="35">
      <c r="A35" s="1">
        <v>34</v>
      </c>
      <c r="B35" s="1" t="str">
        <v>0817528</v>
      </c>
      <c r="C35" s="1" t="str">
        <v>누크코퍼레이션</v>
      </c>
      <c r="D35" s="1" t="str">
        <v>문구</v>
      </c>
      <c r="E35" s="1">
        <v>1130000</v>
      </c>
      <c r="G35" s="1">
        <f>E35-IF(ISBLANK(F35),0,F35)</f>
        <v>1130000</v>
      </c>
      <c r="H35" s="1">
        <f>IFERROR(G35/G50*100,0)</f>
        <v>1.63531114327062</v>
      </c>
    </row>
    <row r="36">
      <c r="A36" s="1">
        <v>35</v>
      </c>
      <c r="B36" s="1" t="str">
        <v>0803791</v>
      </c>
      <c r="C36" s="1" t="str">
        <v>공장</v>
      </c>
      <c r="D36" s="1" t="str">
        <v>문구</v>
      </c>
      <c r="E36" s="1">
        <v>1010000</v>
      </c>
      <c r="F36" s="1">
        <v>150000</v>
      </c>
      <c r="G36" s="1">
        <f>E36-IF(ISBLANK(F36),0,F36)</f>
        <v>860000</v>
      </c>
      <c r="H36" s="1">
        <f>IFERROR(G36/G50*100,0)</f>
        <v>1.24457308248915</v>
      </c>
    </row>
    <row r="37">
      <c r="A37" s="1">
        <v>36</v>
      </c>
      <c r="B37" s="1" t="str">
        <v>0803741</v>
      </c>
      <c r="C37" s="1" t="str">
        <v>BST</v>
      </c>
      <c r="D37" s="1" t="str">
        <v>문구</v>
      </c>
      <c r="E37" s="1">
        <v>970000</v>
      </c>
      <c r="F37" s="1">
        <v>150000</v>
      </c>
      <c r="G37" s="1">
        <f>E37-IF(ISBLANK(F37),0,F37)</f>
        <v>820000</v>
      </c>
      <c r="H37" s="1">
        <f>IFERROR(G37/G50*100,0)</f>
        <v>1.18668596237337</v>
      </c>
    </row>
    <row r="38">
      <c r="A38" s="1">
        <v>37</v>
      </c>
      <c r="B38" s="1" t="str">
        <v>0806798</v>
      </c>
      <c r="C38" s="1" t="str">
        <v>이가라인유통</v>
      </c>
      <c r="D38" s="1" t="str">
        <v>문구</v>
      </c>
      <c r="E38" s="1">
        <v>870000</v>
      </c>
      <c r="G38" s="1">
        <f>E38-IF(ISBLANK(F38),0,F38)</f>
        <v>870000</v>
      </c>
      <c r="H38" s="1">
        <f>IFERROR(G38/G50*100,0)</f>
        <v>1.25904486251809</v>
      </c>
    </row>
    <row r="39">
      <c r="A39" s="1">
        <v>38</v>
      </c>
      <c r="B39" s="1" t="str">
        <v>0803690</v>
      </c>
      <c r="C39" s="1" t="str">
        <v>인디고</v>
      </c>
      <c r="D39" s="1" t="str">
        <v>문구</v>
      </c>
      <c r="E39" s="1">
        <v>790000</v>
      </c>
      <c r="G39" s="1">
        <f>E39-IF(ISBLANK(F39),0,F39)</f>
        <v>790000</v>
      </c>
      <c r="H39" s="1">
        <f>IFERROR(G39/G50*100,0)</f>
        <v>1.14327062228654</v>
      </c>
    </row>
    <row r="40">
      <c r="A40" s="1">
        <v>39</v>
      </c>
      <c r="B40" s="1" t="str">
        <v>0816312</v>
      </c>
      <c r="C40" s="1" t="str">
        <v>엠젯패밀리</v>
      </c>
      <c r="D40" s="1" t="str">
        <v>문구</v>
      </c>
      <c r="E40" s="1">
        <v>740000</v>
      </c>
      <c r="G40" s="1">
        <f>E40-IF(ISBLANK(F40),0,F40)</f>
        <v>740000</v>
      </c>
      <c r="H40" s="1">
        <f>IFERROR(G40/G50*100,0)</f>
        <v>1.07091172214182</v>
      </c>
    </row>
    <row r="41">
      <c r="A41" s="1">
        <v>40</v>
      </c>
      <c r="B41" s="1" t="str">
        <v>0803527</v>
      </c>
      <c r="C41" s="1" t="str">
        <v>프론티어통상</v>
      </c>
      <c r="D41" s="1" t="str">
        <v>문구</v>
      </c>
      <c r="E41" s="1">
        <v>530000</v>
      </c>
      <c r="G41" s="1">
        <f>E41-IF(ISBLANK(F41),0,F41)</f>
        <v>530000</v>
      </c>
      <c r="H41" s="1">
        <f>IFERROR(G41/G50*100,0)</f>
        <v>0.767004341534009</v>
      </c>
    </row>
    <row r="42">
      <c r="A42" s="1">
        <v>41</v>
      </c>
      <c r="B42" s="1" t="str">
        <v>0803503</v>
      </c>
      <c r="C42" s="1" t="str">
        <v>로마네</v>
      </c>
      <c r="D42" s="1" t="str">
        <v>문구</v>
      </c>
      <c r="E42" s="1">
        <v>510000</v>
      </c>
      <c r="G42" s="1">
        <f>E42-IF(ISBLANK(F42),0,F42)</f>
        <v>510000</v>
      </c>
      <c r="H42" s="1">
        <f>IFERROR(G42/G50*100,0)</f>
        <v>0.738060781476122</v>
      </c>
    </row>
    <row r="43">
      <c r="A43" s="1">
        <v>42</v>
      </c>
      <c r="B43" s="1" t="str">
        <v>01B0504</v>
      </c>
      <c r="C43" s="1" t="str">
        <v>카카오엔터테인먼트</v>
      </c>
      <c r="D43" s="1" t="str">
        <v>음반</v>
      </c>
      <c r="E43" s="1">
        <v>500000</v>
      </c>
      <c r="G43" s="1">
        <f>E43-IF(ISBLANK(F43),0,F43)</f>
        <v>500000</v>
      </c>
      <c r="H43" s="1">
        <f>IFERROR(G43/G50*100,0)</f>
        <v>0.723589001447178</v>
      </c>
    </row>
    <row r="44">
      <c r="A44" s="1">
        <v>43</v>
      </c>
      <c r="B44" s="1" t="str">
        <v>0817225</v>
      </c>
      <c r="C44" s="1" t="str">
        <v>도혜드로잉</v>
      </c>
      <c r="D44" s="1" t="str">
        <v>문구</v>
      </c>
      <c r="E44" s="1">
        <v>480000</v>
      </c>
      <c r="G44" s="1">
        <f>E44-IF(ISBLANK(F44),0,F44)</f>
        <v>480000</v>
      </c>
      <c r="H44" s="1">
        <f>IFERROR(G44/G50*100,0)</f>
        <v>0.694645441389291</v>
      </c>
    </row>
    <row r="45">
      <c r="A45" s="1">
        <v>44</v>
      </c>
      <c r="B45" s="1" t="str">
        <v>0816166</v>
      </c>
      <c r="C45" s="1" t="str">
        <v>해밀</v>
      </c>
      <c r="D45" s="1" t="str">
        <v>문구</v>
      </c>
      <c r="E45" s="1">
        <v>340000</v>
      </c>
      <c r="G45" s="1">
        <f>E45-IF(ISBLANK(F45),0,F45)</f>
        <v>340000</v>
      </c>
      <c r="H45" s="1">
        <f>IFERROR(G45/G50*100,0)</f>
        <v>0.492040520984081</v>
      </c>
    </row>
    <row r="46">
      <c r="A46" s="1">
        <v>45</v>
      </c>
      <c r="B46" s="1" t="str">
        <v>01B0470</v>
      </c>
      <c r="C46" s="1" t="str">
        <v>드림어스컴퍼니</v>
      </c>
      <c r="D46" s="1" t="str">
        <v>음반</v>
      </c>
      <c r="E46" s="1">
        <v>330000</v>
      </c>
      <c r="G46" s="1">
        <f>E46-IF(ISBLANK(F46),0,F46)</f>
        <v>330000</v>
      </c>
      <c r="H46" s="1">
        <f>IFERROR(G46/G50*100,0)</f>
        <v>0.477568740955137</v>
      </c>
    </row>
    <row r="47">
      <c r="A47" s="1">
        <v>46</v>
      </c>
      <c r="B47" s="1" t="str">
        <v>01B0478</v>
      </c>
      <c r="C47" s="1" t="str">
        <v>와이지플러스</v>
      </c>
      <c r="D47" s="1" t="str">
        <v>음반</v>
      </c>
      <c r="E47" s="1">
        <v>330000</v>
      </c>
      <c r="G47" s="1">
        <f>E47-IF(ISBLANK(F47),0,F47)</f>
        <v>330000</v>
      </c>
      <c r="H47" s="1">
        <f>IFERROR(G47/G50*100,0)</f>
        <v>0.477568740955137</v>
      </c>
    </row>
    <row r="48">
      <c r="A48" s="1">
        <v>47</v>
      </c>
      <c r="B48" s="1" t="str">
        <v>0817135</v>
      </c>
      <c r="C48" s="1" t="str">
        <v>해피썬</v>
      </c>
      <c r="D48" s="1" t="str">
        <v>문구</v>
      </c>
      <c r="E48" s="1">
        <v>270000</v>
      </c>
      <c r="G48" s="1">
        <f>E48-IF(ISBLANK(F48),0,F48)</f>
        <v>270000</v>
      </c>
      <c r="H48" s="1">
        <f>IFERROR(G48/G50*100,0)</f>
        <v>0.390738060781476</v>
      </c>
    </row>
    <row r="49">
      <c r="A49" s="1">
        <v>48</v>
      </c>
      <c r="B49" s="1" t="str">
        <v>0800334</v>
      </c>
      <c r="C49" s="1" t="str">
        <v>아이비스코리아</v>
      </c>
      <c r="D49" s="1" t="str">
        <v>문구</v>
      </c>
      <c r="E49" s="1">
        <v>240000</v>
      </c>
      <c r="G49" s="1">
        <f>E49-IF(ISBLANK(F49),0,F49)</f>
        <v>240000</v>
      </c>
      <c r="H49" s="1">
        <f>IFERROR(G49/G50*100,0)</f>
        <v>0.347322720694645</v>
      </c>
    </row>
    <row r="50">
      <c r="C50" s="1" t="str">
        <v>합계</v>
      </c>
      <c r="E50" s="1">
        <f>SUM(E2:E49)</f>
        <v>69760000</v>
      </c>
      <c r="F50" s="1">
        <f>SUM(F2:F49)</f>
        <v>660000</v>
      </c>
      <c r="G50" s="1">
        <f>SUM(G2:G49)</f>
        <v>69100000</v>
      </c>
      <c r="H50" s="1">
        <v>100</v>
      </c>
    </row>
  </sheetData>
  <pageMargins left="0.75" right="0.75" top="1" bottom="1" header="0.511811023622047" footer="0.511811023622047"/>
  <ignoredErrors>
    <ignoredError numberStoredAsText="1" sqref="A1:H5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H50"/>
  <sheetViews>
    <sheetView workbookViewId="0" rightToLeft="0"/>
  </sheetViews>
  <sheetData>
    <row r="1">
      <c r="A1" s="1" t="str">
        <v>순위</v>
      </c>
      <c r="B1" s="1" t="str">
        <v>매입처코드</v>
      </c>
      <c r="C1" s="1" t="str">
        <v>매입처명</v>
      </c>
      <c r="D1" s="1" t="str">
        <v>구분</v>
      </c>
      <c r="E1" s="1" t="str">
        <v>매출금액</v>
      </c>
      <c r="F1" s="1" t="str">
        <v>매출제외금액</v>
      </c>
      <c r="G1" s="1" t="str">
        <v>최종매출금액</v>
      </c>
      <c r="H1" s="1" t="str">
        <v>점유율(%)</v>
      </c>
    </row>
    <row r="2">
      <c r="A2" s="1">
        <v>1</v>
      </c>
      <c r="B2" s="1" t="str">
        <v>0816312</v>
      </c>
      <c r="C2" s="1" t="str">
        <v>엠젯패밀리</v>
      </c>
      <c r="D2" s="1" t="str">
        <v>문구</v>
      </c>
      <c r="E2" s="1">
        <v>3000000</v>
      </c>
      <c r="G2" s="1">
        <f>E2-IF(ISBLANK(F2),0,F2)</f>
        <v>3000000</v>
      </c>
      <c r="H2" s="1">
        <f>IFERROR(G2/G50*100,0)</f>
        <v>3.99893361770195</v>
      </c>
    </row>
    <row r="3">
      <c r="A3" s="1">
        <v>2</v>
      </c>
      <c r="B3" s="1" t="str">
        <v>0803690</v>
      </c>
      <c r="C3" s="1" t="str">
        <v>인디고</v>
      </c>
      <c r="D3" s="1" t="str">
        <v>문구</v>
      </c>
      <c r="E3" s="1">
        <v>2940000</v>
      </c>
      <c r="G3" s="1">
        <f>E3-IF(ISBLANK(F3),0,F3)</f>
        <v>2940000</v>
      </c>
      <c r="H3" s="1">
        <f>IFERROR(G3/G50*100,0)</f>
        <v>3.91895494534791</v>
      </c>
    </row>
    <row r="4">
      <c r="A4" s="1">
        <v>3</v>
      </c>
      <c r="B4" s="1" t="str">
        <v>0806798</v>
      </c>
      <c r="C4" s="1" t="str">
        <v>이가라인유통</v>
      </c>
      <c r="D4" s="1" t="str">
        <v>문구</v>
      </c>
      <c r="E4" s="1">
        <v>2840000</v>
      </c>
      <c r="G4" s="1">
        <f>E4-IF(ISBLANK(F4),0,F4)</f>
        <v>2840000</v>
      </c>
      <c r="H4" s="1">
        <f>IFERROR(G4/G50*100,0)</f>
        <v>3.78565715809118</v>
      </c>
    </row>
    <row r="5">
      <c r="A5" s="1">
        <v>4</v>
      </c>
      <c r="B5" s="1" t="str">
        <v>0803741</v>
      </c>
      <c r="C5" s="1" t="str">
        <v>BST</v>
      </c>
      <c r="D5" s="1" t="str">
        <v>문구</v>
      </c>
      <c r="E5" s="1">
        <v>2710000</v>
      </c>
      <c r="G5" s="1">
        <f>E5-IF(ISBLANK(F5),0,F5)</f>
        <v>2710000</v>
      </c>
      <c r="H5" s="1">
        <f>IFERROR(G5/G50*100,0)</f>
        <v>3.61237003465743</v>
      </c>
    </row>
    <row r="6">
      <c r="A6" s="1">
        <v>5</v>
      </c>
      <c r="B6" s="1" t="str">
        <v>0803791</v>
      </c>
      <c r="C6" s="1" t="str">
        <v>공장</v>
      </c>
      <c r="D6" s="1" t="str">
        <v>문구</v>
      </c>
      <c r="E6" s="1">
        <v>2670000</v>
      </c>
      <c r="G6" s="1">
        <f>E6-IF(ISBLANK(F6),0,F6)</f>
        <v>2670000</v>
      </c>
      <c r="H6" s="1">
        <f>IFERROR(G6/G50*100,0)</f>
        <v>3.55905091975473</v>
      </c>
    </row>
    <row r="7">
      <c r="A7" s="1">
        <v>6</v>
      </c>
      <c r="B7" s="1" t="str">
        <v>0817528</v>
      </c>
      <c r="C7" s="1" t="str">
        <v>누크코퍼레이션</v>
      </c>
      <c r="D7" s="1" t="str">
        <v>문구</v>
      </c>
      <c r="E7" s="1">
        <v>2520000</v>
      </c>
      <c r="G7" s="1">
        <f>E7-IF(ISBLANK(F7),0,F7)</f>
        <v>2520000</v>
      </c>
      <c r="H7" s="1">
        <f>IFERROR(G7/G50*100,0)</f>
        <v>3.35910423886963</v>
      </c>
    </row>
    <row r="8">
      <c r="A8" s="1">
        <v>7</v>
      </c>
      <c r="B8" s="1" t="str">
        <v>0803825</v>
      </c>
      <c r="C8" s="1" t="str">
        <v>정인통상</v>
      </c>
      <c r="D8" s="1" t="str">
        <v>문구</v>
      </c>
      <c r="E8" s="1">
        <v>2470000</v>
      </c>
      <c r="F8" s="1">
        <v>370000</v>
      </c>
      <c r="G8" s="1">
        <f>E8-IF(ISBLANK(F8),0,F8)</f>
        <v>2100000</v>
      </c>
      <c r="H8" s="1">
        <f>IFERROR(G8/G50*100,0)</f>
        <v>2.79925353239136</v>
      </c>
    </row>
    <row r="9">
      <c r="A9" s="1">
        <v>8</v>
      </c>
      <c r="B9" s="1" t="str">
        <v>0816525</v>
      </c>
      <c r="C9" s="1" t="str">
        <v>루카랩컴퍼니</v>
      </c>
      <c r="D9" s="1" t="str">
        <v>문구</v>
      </c>
      <c r="E9" s="1">
        <v>2460000</v>
      </c>
      <c r="F9" s="1">
        <v>370000</v>
      </c>
      <c r="G9" s="1">
        <f>E9-IF(ISBLANK(F9),0,F9)</f>
        <v>2090000</v>
      </c>
      <c r="H9" s="1">
        <f>IFERROR(G9/G50*100,0)</f>
        <v>2.78592375366569</v>
      </c>
    </row>
    <row r="10">
      <c r="A10" s="1">
        <v>9</v>
      </c>
      <c r="B10" s="1" t="str">
        <v>0803833</v>
      </c>
      <c r="C10" s="1" t="str">
        <v>모나미(특정매입)</v>
      </c>
      <c r="D10" s="1" t="str">
        <v>특정매입</v>
      </c>
      <c r="E10" s="1">
        <v>2460000</v>
      </c>
      <c r="G10" s="1">
        <f>E10-IF(ISBLANK(F10),0,F10)</f>
        <v>2460000</v>
      </c>
      <c r="H10" s="1">
        <f>IFERROR(G10/G50*100,0)</f>
        <v>3.2791255665156</v>
      </c>
    </row>
    <row r="11">
      <c r="A11" s="1">
        <v>10</v>
      </c>
      <c r="B11" s="1" t="str">
        <v>0816555</v>
      </c>
      <c r="C11" s="1" t="str">
        <v>냐냐온 스튜디오</v>
      </c>
      <c r="D11" s="1" t="str">
        <v>문구</v>
      </c>
      <c r="E11" s="1">
        <v>2440000</v>
      </c>
      <c r="F11" s="1">
        <v>370000</v>
      </c>
      <c r="G11" s="1">
        <f>E11-IF(ISBLANK(F11),0,F11)</f>
        <v>2070000</v>
      </c>
      <c r="H11" s="1">
        <f>IFERROR(G11/G50*100,0)</f>
        <v>2.75926419621434</v>
      </c>
    </row>
    <row r="12">
      <c r="A12" s="1">
        <v>11</v>
      </c>
      <c r="B12" s="1" t="str">
        <v>0810456</v>
      </c>
      <c r="C12" s="1" t="str">
        <v>디앤에프조이필</v>
      </c>
      <c r="D12" s="1" t="str">
        <v>문구</v>
      </c>
      <c r="E12" s="1">
        <v>2360000</v>
      </c>
      <c r="G12" s="1">
        <f>E12-IF(ISBLANK(F12),0,F12)</f>
        <v>2360000</v>
      </c>
      <c r="H12" s="1">
        <f>IFERROR(G12/G50*100,0)</f>
        <v>3.14582777925886</v>
      </c>
    </row>
    <row r="13">
      <c r="A13" s="1">
        <v>12</v>
      </c>
      <c r="B13" s="1" t="str">
        <v>0818620</v>
      </c>
      <c r="C13" s="1" t="str">
        <v>더토브</v>
      </c>
      <c r="D13" s="1" t="str">
        <v>문구</v>
      </c>
      <c r="E13" s="1">
        <v>2320000</v>
      </c>
      <c r="G13" s="1">
        <f>E13-IF(ISBLANK(F13),0,F13)</f>
        <v>2320000</v>
      </c>
      <c r="H13" s="1">
        <f>IFERROR(G13/G50*100,0)</f>
        <v>3.09250866435617</v>
      </c>
    </row>
    <row r="14">
      <c r="A14" s="1">
        <v>13</v>
      </c>
      <c r="B14" s="1" t="str">
        <v>0817604</v>
      </c>
      <c r="C14" s="1" t="str">
        <v>비온뒤</v>
      </c>
      <c r="D14" s="1" t="str">
        <v>문구</v>
      </c>
      <c r="E14" s="1">
        <v>2270000</v>
      </c>
      <c r="G14" s="1">
        <f>E14-IF(ISBLANK(F14),0,F14)</f>
        <v>2270000</v>
      </c>
      <c r="H14" s="1">
        <f>IFERROR(G14/G50*100,0)</f>
        <v>3.02585977072781</v>
      </c>
    </row>
    <row r="15">
      <c r="A15" s="1">
        <v>14</v>
      </c>
      <c r="B15" s="1" t="str">
        <v>0817625</v>
      </c>
      <c r="C15" s="1" t="str">
        <v>대인커머스</v>
      </c>
      <c r="D15" s="1" t="str">
        <v>문구</v>
      </c>
      <c r="E15" s="1">
        <v>2260000</v>
      </c>
      <c r="F15" s="1">
        <v>340000</v>
      </c>
      <c r="G15" s="1">
        <f>E15-IF(ISBLANK(F15),0,F15)</f>
        <v>1920000</v>
      </c>
      <c r="H15" s="1">
        <f>IFERROR(G15/G50*100,0)</f>
        <v>2.55931751532925</v>
      </c>
    </row>
    <row r="16">
      <c r="A16" s="1">
        <v>15</v>
      </c>
      <c r="B16" s="1" t="str">
        <v>0811513</v>
      </c>
      <c r="C16" s="1" t="str">
        <v>캘리엠</v>
      </c>
      <c r="D16" s="1" t="str">
        <v>문구</v>
      </c>
      <c r="E16" s="1">
        <v>2190000</v>
      </c>
      <c r="G16" s="1">
        <f>E16-IF(ISBLANK(F16),0,F16)</f>
        <v>2190000</v>
      </c>
      <c r="H16" s="1">
        <f>IFERROR(G16/G50*100,0)</f>
        <v>2.91922154092242</v>
      </c>
    </row>
    <row r="17">
      <c r="A17" s="1">
        <v>16</v>
      </c>
      <c r="B17" s="1" t="str">
        <v>0810588</v>
      </c>
      <c r="C17" s="1" t="str">
        <v>케이디코퍼레이션</v>
      </c>
      <c r="D17" s="1" t="str">
        <v>문구</v>
      </c>
      <c r="E17" s="1">
        <v>2070000</v>
      </c>
      <c r="G17" s="1">
        <f>E17-IF(ISBLANK(F17),0,F17)</f>
        <v>2070000</v>
      </c>
      <c r="H17" s="1">
        <f>IFERROR(G17/G50*100,0)</f>
        <v>2.75926419621434</v>
      </c>
    </row>
    <row r="18">
      <c r="A18" s="1">
        <v>17</v>
      </c>
      <c r="B18" s="1" t="str">
        <v>0816796</v>
      </c>
      <c r="C18" s="1" t="str">
        <v>마이누</v>
      </c>
      <c r="D18" s="1" t="str">
        <v>문구</v>
      </c>
      <c r="E18" s="1">
        <v>1870000</v>
      </c>
      <c r="G18" s="1">
        <f>E18-IF(ISBLANK(F18),0,F18)</f>
        <v>1870000</v>
      </c>
      <c r="H18" s="1">
        <f>IFERROR(G18/G50*100,0)</f>
        <v>2.49266862170088</v>
      </c>
    </row>
    <row r="19">
      <c r="A19" s="1">
        <v>18</v>
      </c>
      <c r="B19" s="1" t="str">
        <v>0803080</v>
      </c>
      <c r="C19" s="1" t="str">
        <v>위드에버상사</v>
      </c>
      <c r="D19" s="1" t="str">
        <v>문구</v>
      </c>
      <c r="E19" s="1">
        <v>1780000</v>
      </c>
      <c r="G19" s="1">
        <f>E19-IF(ISBLANK(F19),0,F19)</f>
        <v>1780000</v>
      </c>
      <c r="H19" s="1">
        <f>IFERROR(G19/G50*100,0)</f>
        <v>2.37270061316982</v>
      </c>
    </row>
    <row r="20">
      <c r="A20" s="1">
        <v>19</v>
      </c>
      <c r="B20" s="1" t="str">
        <v>0811795</v>
      </c>
      <c r="C20" s="1" t="str">
        <v>베르제마넷</v>
      </c>
      <c r="D20" s="1" t="str">
        <v>문구</v>
      </c>
      <c r="E20" s="1">
        <v>1590000</v>
      </c>
      <c r="F20" s="1">
        <v>240000</v>
      </c>
      <c r="G20" s="1">
        <f>E20-IF(ISBLANK(F20),0,F20)</f>
        <v>1350000</v>
      </c>
      <c r="H20" s="1">
        <f>IFERROR(G20/G50*100,0)</f>
        <v>1.79952012796588</v>
      </c>
    </row>
    <row r="21">
      <c r="A21" s="1">
        <v>20</v>
      </c>
      <c r="B21" s="1" t="str">
        <v>0803124</v>
      </c>
      <c r="C21" s="1" t="str">
        <v>아톰상사(특정매입)</v>
      </c>
      <c r="D21" s="1" t="str">
        <v>특정매입</v>
      </c>
      <c r="E21" s="1">
        <v>1570000</v>
      </c>
      <c r="G21" s="1">
        <f>E21-IF(ISBLANK(F21),0,F21)</f>
        <v>1570000</v>
      </c>
      <c r="H21" s="1">
        <f>IFERROR(G21/G50*100,0)</f>
        <v>2.09277525993069</v>
      </c>
    </row>
    <row r="22">
      <c r="A22" s="1">
        <v>21</v>
      </c>
      <c r="B22" s="1" t="str">
        <v>0803144</v>
      </c>
      <c r="C22" s="1" t="str">
        <v>씨케이세일즈</v>
      </c>
      <c r="D22" s="1" t="str">
        <v>문구</v>
      </c>
      <c r="E22" s="1">
        <v>1550000</v>
      </c>
      <c r="G22" s="1">
        <f>E22-IF(ISBLANK(F22),0,F22)</f>
        <v>1550000</v>
      </c>
      <c r="H22" s="1">
        <f>IFERROR(G22/G50*100,0)</f>
        <v>2.06611570247934</v>
      </c>
    </row>
    <row r="23">
      <c r="A23" s="1">
        <v>22</v>
      </c>
      <c r="B23" s="1" t="str">
        <v>0803159</v>
      </c>
      <c r="C23" s="1" t="str">
        <v>안테나샵</v>
      </c>
      <c r="D23" s="1" t="str">
        <v>문구</v>
      </c>
      <c r="E23" s="1">
        <v>1540000</v>
      </c>
      <c r="G23" s="1">
        <f>E23-IF(ISBLANK(F23),0,F23)</f>
        <v>1540000</v>
      </c>
      <c r="H23" s="1">
        <f>IFERROR(G23/G50*100,0)</f>
        <v>2.05278592375367</v>
      </c>
    </row>
    <row r="24">
      <c r="A24" s="1">
        <v>23</v>
      </c>
      <c r="B24" s="1" t="str">
        <v>0803158</v>
      </c>
      <c r="C24" s="1" t="str">
        <v>바이풀디자인</v>
      </c>
      <c r="D24" s="1" t="str">
        <v>문구</v>
      </c>
      <c r="E24" s="1">
        <v>1540000</v>
      </c>
      <c r="G24" s="1">
        <f>E24-IF(ISBLANK(F24),0,F24)</f>
        <v>1540000</v>
      </c>
      <c r="H24" s="1">
        <f>IFERROR(G24/G50*100,0)</f>
        <v>2.05278592375367</v>
      </c>
    </row>
    <row r="25">
      <c r="A25" s="1">
        <v>24</v>
      </c>
      <c r="B25" s="1" t="str">
        <v>0803186</v>
      </c>
      <c r="C25" s="1" t="str">
        <v>아이코닉</v>
      </c>
      <c r="D25" s="1" t="str">
        <v>문구</v>
      </c>
      <c r="E25" s="1">
        <v>1510000</v>
      </c>
      <c r="G25" s="1">
        <f>E25-IF(ISBLANK(F25),0,F25)</f>
        <v>1510000</v>
      </c>
      <c r="H25" s="1">
        <f>IFERROR(G25/G50*100,0)</f>
        <v>2.01279658757665</v>
      </c>
    </row>
    <row r="26">
      <c r="A26" s="1">
        <v>25</v>
      </c>
      <c r="B26" s="1" t="str">
        <v>0803187</v>
      </c>
      <c r="C26" s="1" t="str">
        <v>칠삼이일디자인</v>
      </c>
      <c r="D26" s="1" t="str">
        <v>문구</v>
      </c>
      <c r="E26" s="1">
        <v>1510000</v>
      </c>
      <c r="G26" s="1">
        <f>E26-IF(ISBLANK(F26),0,F26)</f>
        <v>1510000</v>
      </c>
      <c r="H26" s="1">
        <f>IFERROR(G26/G50*100,0)</f>
        <v>2.01279658757665</v>
      </c>
    </row>
    <row r="27">
      <c r="A27" s="1">
        <v>26</v>
      </c>
      <c r="B27" s="1" t="str">
        <v>0816903</v>
      </c>
      <c r="C27" s="1" t="str">
        <v>더시호</v>
      </c>
      <c r="D27" s="1" t="str">
        <v>문구</v>
      </c>
      <c r="E27" s="1">
        <v>1420000</v>
      </c>
      <c r="G27" s="1">
        <f>E27-IF(ISBLANK(F27),0,F27)</f>
        <v>1420000</v>
      </c>
      <c r="H27" s="1">
        <f>IFERROR(G27/G50*100,0)</f>
        <v>1.89282857904559</v>
      </c>
    </row>
    <row r="28">
      <c r="A28" s="1">
        <v>27</v>
      </c>
      <c r="B28" s="1" t="str">
        <v>0900216</v>
      </c>
      <c r="C28" s="1" t="str">
        <v>LEUCHTTURM</v>
      </c>
      <c r="D28" s="1" t="str">
        <v>해외문구</v>
      </c>
      <c r="E28" s="1">
        <v>1370000</v>
      </c>
      <c r="G28" s="1">
        <f>E28-IF(ISBLANK(F28),0,F28)</f>
        <v>1370000</v>
      </c>
      <c r="H28" s="1">
        <f>IFERROR(G28/G50*100,0)</f>
        <v>1.82617968541722</v>
      </c>
    </row>
    <row r="29">
      <c r="A29" s="1">
        <v>28</v>
      </c>
      <c r="B29" s="1" t="str">
        <v>0900224</v>
      </c>
      <c r="C29" s="1" t="str">
        <v>LIHIT LAB.,INC</v>
      </c>
      <c r="D29" s="1" t="str">
        <v>해외문구</v>
      </c>
      <c r="E29" s="1">
        <v>1360000</v>
      </c>
      <c r="G29" s="1">
        <f>E29-IF(ISBLANK(F29),0,F29)</f>
        <v>1360000</v>
      </c>
      <c r="H29" s="1">
        <f>IFERROR(G29/G50*100,0)</f>
        <v>1.81284990669155</v>
      </c>
    </row>
    <row r="30">
      <c r="A30" s="1">
        <v>29</v>
      </c>
      <c r="B30" s="1" t="str">
        <v>0900252</v>
      </c>
      <c r="C30" s="1" t="str">
        <v>HIGHTIDE CO.,LTD</v>
      </c>
      <c r="D30" s="1" t="str">
        <v>해외문구</v>
      </c>
      <c r="E30" s="1">
        <v>1340000</v>
      </c>
      <c r="G30" s="1">
        <f>E30-IF(ISBLANK(F30),0,F30)</f>
        <v>1340000</v>
      </c>
      <c r="H30" s="1">
        <f>IFERROR(G30/G50*100,0)</f>
        <v>1.7861903492402</v>
      </c>
    </row>
    <row r="31">
      <c r="A31" s="1">
        <v>30</v>
      </c>
      <c r="B31" s="1" t="str">
        <v>0803222</v>
      </c>
      <c r="C31" s="1" t="str">
        <v>아르디움</v>
      </c>
      <c r="D31" s="1" t="str">
        <v>문구</v>
      </c>
      <c r="E31" s="1">
        <v>1300000</v>
      </c>
      <c r="G31" s="1">
        <f>E31-IF(ISBLANK(F31),0,F31)</f>
        <v>1300000</v>
      </c>
      <c r="H31" s="1">
        <f>IFERROR(G31/G50*100,0)</f>
        <v>1.73287123433751</v>
      </c>
    </row>
    <row r="32">
      <c r="A32" s="1">
        <v>31</v>
      </c>
      <c r="B32" s="1" t="str">
        <v>0803255</v>
      </c>
      <c r="C32" s="1" t="str">
        <v>모닝글로리</v>
      </c>
      <c r="D32" s="1" t="str">
        <v>문구</v>
      </c>
      <c r="E32" s="1">
        <v>1280000</v>
      </c>
      <c r="F32" s="1">
        <v>190000</v>
      </c>
      <c r="G32" s="1">
        <f>E32-IF(ISBLANK(F32),0,F32)</f>
        <v>1090000</v>
      </c>
      <c r="H32" s="1">
        <f>IFERROR(G32/G50*100,0)</f>
        <v>1.45294588109837</v>
      </c>
    </row>
    <row r="33">
      <c r="A33" s="1">
        <v>32</v>
      </c>
      <c r="B33" s="1" t="str">
        <v>0803267</v>
      </c>
      <c r="C33" s="1" t="str">
        <v>플레플레</v>
      </c>
      <c r="D33" s="1" t="str">
        <v>문구</v>
      </c>
      <c r="E33" s="1">
        <v>1270000</v>
      </c>
      <c r="G33" s="1">
        <f>E33-IF(ISBLANK(F33),0,F33)</f>
        <v>1270000</v>
      </c>
      <c r="H33" s="1">
        <f>IFERROR(G33/G50*100,0)</f>
        <v>1.69288189816049</v>
      </c>
    </row>
    <row r="34">
      <c r="A34" s="1">
        <v>33</v>
      </c>
      <c r="B34" s="1" t="str">
        <v>0803289</v>
      </c>
      <c r="C34" s="1" t="str">
        <v>솜씨스템프</v>
      </c>
      <c r="D34" s="1" t="str">
        <v>문구</v>
      </c>
      <c r="E34" s="1">
        <v>1250000</v>
      </c>
      <c r="G34" s="1">
        <f>E34-IF(ISBLANK(F34),0,F34)</f>
        <v>1250000</v>
      </c>
      <c r="H34" s="1">
        <f>IFERROR(G34/G50*100,0)</f>
        <v>1.66622234070914</v>
      </c>
    </row>
    <row r="35">
      <c r="A35" s="1">
        <v>34</v>
      </c>
      <c r="B35" s="1" t="str">
        <v>0818036</v>
      </c>
      <c r="C35" s="1" t="str">
        <v>페펜스튜디오</v>
      </c>
      <c r="D35" s="1" t="str">
        <v>문구</v>
      </c>
      <c r="E35" s="1">
        <v>1140000</v>
      </c>
      <c r="G35" s="1">
        <f>E35-IF(ISBLANK(F35),0,F35)</f>
        <v>1140000</v>
      </c>
      <c r="H35" s="1">
        <f>IFERROR(G35/G50*100,0)</f>
        <v>1.51959477472674</v>
      </c>
    </row>
    <row r="36">
      <c r="A36" s="1">
        <v>35</v>
      </c>
      <c r="B36" s="1" t="str">
        <v>0812988</v>
      </c>
      <c r="C36" s="1" t="str">
        <v>모트모트</v>
      </c>
      <c r="D36" s="1" t="str">
        <v>문구</v>
      </c>
      <c r="E36" s="1">
        <v>1120000</v>
      </c>
      <c r="G36" s="1">
        <f>E36-IF(ISBLANK(F36),0,F36)</f>
        <v>1120000</v>
      </c>
      <c r="H36" s="1">
        <f>IFERROR(G36/G50*100,0)</f>
        <v>1.49293521727539</v>
      </c>
    </row>
    <row r="37">
      <c r="A37" s="1">
        <v>36</v>
      </c>
      <c r="B37" s="1" t="str">
        <v>0803303</v>
      </c>
      <c r="C37" s="1" t="str">
        <v>이투컬렉션</v>
      </c>
      <c r="D37" s="1" t="str">
        <v>문구</v>
      </c>
      <c r="E37" s="1">
        <v>1060000</v>
      </c>
      <c r="G37" s="1">
        <f>E37-IF(ISBLANK(F37),0,F37)</f>
        <v>1060000</v>
      </c>
      <c r="H37" s="1">
        <f>IFERROR(G37/G50*100,0)</f>
        <v>1.41295654492135</v>
      </c>
    </row>
    <row r="38">
      <c r="A38" s="1">
        <v>37</v>
      </c>
      <c r="B38" s="1" t="str">
        <v>0807485</v>
      </c>
      <c r="C38" s="1" t="str">
        <v>대시앤도트</v>
      </c>
      <c r="D38" s="1" t="str">
        <v>문구</v>
      </c>
      <c r="E38" s="1">
        <v>950000</v>
      </c>
      <c r="F38" s="1">
        <v>140000</v>
      </c>
      <c r="G38" s="1">
        <f>E38-IF(ISBLANK(F38),0,F38)</f>
        <v>810000</v>
      </c>
      <c r="H38" s="1">
        <f>IFERROR(G38/G50*100,0)</f>
        <v>1.07971207677953</v>
      </c>
    </row>
    <row r="39">
      <c r="A39" s="1">
        <v>38</v>
      </c>
      <c r="B39" s="1" t="str">
        <v>0807481</v>
      </c>
      <c r="C39" s="1" t="str">
        <v>골드디자인</v>
      </c>
      <c r="D39" s="1" t="str">
        <v>문구</v>
      </c>
      <c r="E39" s="1">
        <v>950000</v>
      </c>
      <c r="G39" s="1">
        <f>E39-IF(ISBLANK(F39),0,F39)</f>
        <v>950000</v>
      </c>
      <c r="H39" s="1">
        <f>IFERROR(G39/G50*100,0)</f>
        <v>1.26632897893895</v>
      </c>
    </row>
    <row r="40">
      <c r="A40" s="1">
        <v>39</v>
      </c>
      <c r="B40" s="1" t="str">
        <v>0807497</v>
      </c>
      <c r="C40" s="1" t="str">
        <v>학산문화사</v>
      </c>
      <c r="D40" s="1" t="str">
        <v>문구</v>
      </c>
      <c r="E40" s="1">
        <v>940000</v>
      </c>
      <c r="G40" s="1">
        <f>E40-IF(ISBLANK(F40),0,F40)</f>
        <v>940000</v>
      </c>
      <c r="H40" s="1">
        <f>IFERROR(G40/G50*100,0)</f>
        <v>1.25299920021328</v>
      </c>
    </row>
    <row r="41">
      <c r="A41" s="1">
        <v>40</v>
      </c>
      <c r="B41" s="1" t="str">
        <v>0800334</v>
      </c>
      <c r="C41" s="1" t="str">
        <v>아이비스코리아</v>
      </c>
      <c r="D41" s="1" t="str">
        <v>문구</v>
      </c>
      <c r="E41" s="1">
        <v>860000</v>
      </c>
      <c r="G41" s="1">
        <f>E41-IF(ISBLANK(F41),0,F41)</f>
        <v>860000</v>
      </c>
      <c r="H41" s="1">
        <f>IFERROR(G41/G50*100,0)</f>
        <v>1.14636097040789</v>
      </c>
    </row>
    <row r="42">
      <c r="A42" s="1">
        <v>41</v>
      </c>
      <c r="B42" s="1" t="str">
        <v>0817135</v>
      </c>
      <c r="C42" s="1" t="str">
        <v>해피썬</v>
      </c>
      <c r="D42" s="1" t="str">
        <v>문구</v>
      </c>
      <c r="E42" s="1">
        <v>820000</v>
      </c>
      <c r="F42" s="1">
        <v>120000</v>
      </c>
      <c r="G42" s="1">
        <f>E42-IF(ISBLANK(F42),0,F42)</f>
        <v>700000</v>
      </c>
      <c r="H42" s="1">
        <f>IFERROR(G42/G50*100,0)</f>
        <v>0.933084510797121</v>
      </c>
    </row>
    <row r="43">
      <c r="A43" s="1">
        <v>42</v>
      </c>
      <c r="B43" s="1" t="str">
        <v>01B0470</v>
      </c>
      <c r="C43" s="1" t="str">
        <v>드림어스컴퍼니</v>
      </c>
      <c r="D43" s="1" t="str">
        <v>음반</v>
      </c>
      <c r="E43" s="1">
        <v>750000</v>
      </c>
      <c r="G43" s="1">
        <f>E43-IF(ISBLANK(F43),0,F43)</f>
        <v>750000</v>
      </c>
      <c r="H43" s="1">
        <f>IFERROR(G43/G50*100,0)</f>
        <v>0.999733404425487</v>
      </c>
    </row>
    <row r="44">
      <c r="A44" s="1">
        <v>43</v>
      </c>
      <c r="B44" s="1" t="str">
        <v>0816166</v>
      </c>
      <c r="C44" s="1" t="str">
        <v>해밀</v>
      </c>
      <c r="D44" s="1" t="str">
        <v>문구</v>
      </c>
      <c r="E44" s="1">
        <v>740000</v>
      </c>
      <c r="G44" s="1">
        <f>E44-IF(ISBLANK(F44),0,F44)</f>
        <v>740000</v>
      </c>
      <c r="H44" s="1">
        <f>IFERROR(G44/G50*100,0)</f>
        <v>0.986403625699813</v>
      </c>
    </row>
    <row r="45">
      <c r="A45" s="1">
        <v>44</v>
      </c>
      <c r="B45" s="1" t="str">
        <v>01B0478</v>
      </c>
      <c r="C45" s="1" t="str">
        <v>와이지플러스</v>
      </c>
      <c r="D45" s="1" t="str">
        <v>음반</v>
      </c>
      <c r="E45" s="1">
        <v>740000</v>
      </c>
      <c r="G45" s="1">
        <f>E45-IF(ISBLANK(F45),0,F45)</f>
        <v>740000</v>
      </c>
      <c r="H45" s="1">
        <f>IFERROR(G45/G50*100,0)</f>
        <v>0.986403625699813</v>
      </c>
    </row>
    <row r="46">
      <c r="A46" s="1">
        <v>45</v>
      </c>
      <c r="B46" s="1" t="str">
        <v>0817225</v>
      </c>
      <c r="C46" s="1" t="str">
        <v>도혜드로잉</v>
      </c>
      <c r="D46" s="1" t="str">
        <v>문구</v>
      </c>
      <c r="E46" s="1">
        <v>560000</v>
      </c>
      <c r="F46" s="1">
        <v>80000</v>
      </c>
      <c r="G46" s="1">
        <f>E46-IF(ISBLANK(F46),0,F46)</f>
        <v>480000</v>
      </c>
      <c r="H46" s="1">
        <f>IFERROR(G46/G50*100,0)</f>
        <v>0.639829378832311</v>
      </c>
    </row>
    <row r="47">
      <c r="A47" s="1">
        <v>46</v>
      </c>
      <c r="B47" s="1" t="str">
        <v>01B0504</v>
      </c>
      <c r="C47" s="1" t="str">
        <v>카카오엔터테인먼트</v>
      </c>
      <c r="D47" s="1" t="str">
        <v>음반</v>
      </c>
      <c r="E47" s="1">
        <v>540000</v>
      </c>
      <c r="G47" s="1">
        <f>E47-IF(ISBLANK(F47),0,F47)</f>
        <v>540000</v>
      </c>
      <c r="H47" s="1">
        <f>IFERROR(G47/G50*100,0)</f>
        <v>0.71980805118635</v>
      </c>
    </row>
    <row r="48">
      <c r="A48" s="1">
        <v>47</v>
      </c>
      <c r="B48" s="1" t="str">
        <v>0803503</v>
      </c>
      <c r="C48" s="1" t="str">
        <v>로마네</v>
      </c>
      <c r="D48" s="1" t="str">
        <v>문구</v>
      </c>
      <c r="E48" s="1">
        <v>530000</v>
      </c>
      <c r="G48" s="1">
        <f>E48-IF(ISBLANK(F48),0,F48)</f>
        <v>530000</v>
      </c>
      <c r="H48" s="1">
        <f>IFERROR(G48/G50*100,0)</f>
        <v>0.706478272460677</v>
      </c>
    </row>
    <row r="49">
      <c r="A49" s="1">
        <v>48</v>
      </c>
      <c r="B49" s="1" t="str">
        <v>0803527</v>
      </c>
      <c r="C49" s="1" t="str">
        <v>프론티어통상</v>
      </c>
      <c r="D49" s="1" t="str">
        <v>문구</v>
      </c>
      <c r="E49" s="1">
        <v>510000</v>
      </c>
      <c r="G49" s="1">
        <f>E49-IF(ISBLANK(F49),0,F49)</f>
        <v>510000</v>
      </c>
      <c r="H49" s="1">
        <f>IFERROR(G49/G50*100,0)</f>
        <v>0.679818715009331</v>
      </c>
    </row>
    <row r="50">
      <c r="C50" s="1" t="str">
        <v>합계</v>
      </c>
      <c r="E50" s="1">
        <f>SUM(E2:E49)</f>
        <v>77240000</v>
      </c>
      <c r="F50" s="1">
        <f>SUM(F2:F49)</f>
        <v>2220000</v>
      </c>
      <c r="G50" s="1">
        <f>SUM(G2:G49)</f>
        <v>75020000</v>
      </c>
      <c r="H50" s="1">
        <v>100</v>
      </c>
    </row>
  </sheetData>
  <pageMargins left="0.75" right="0.75" top="1" bottom="1" header="0.511811023622047" footer="0.511811023622047"/>
  <ignoredErrors>
    <ignoredError numberStoredAsText="1" sqref="A1:H5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50"/>
  <sheetViews>
    <sheetView workbookViewId="0" rightToLeft="0"/>
  </sheetViews>
  <sheetData>
    <row r="1">
      <c r="A1" s="1" t="str">
        <v>순위</v>
      </c>
      <c r="B1" s="1" t="str">
        <v>매입처코드</v>
      </c>
      <c r="C1" s="1" t="str">
        <v>매입처명</v>
      </c>
      <c r="D1" s="1" t="str">
        <v>구분</v>
      </c>
      <c r="E1" s="1" t="str">
        <v>매출금액</v>
      </c>
      <c r="F1" s="1" t="str">
        <v>매출제외금액</v>
      </c>
      <c r="G1" s="1" t="str">
        <v>최종매출금액</v>
      </c>
      <c r="H1" s="1" t="str">
        <v>점유율(%)</v>
      </c>
    </row>
    <row r="2">
      <c r="A2" s="1">
        <v>1</v>
      </c>
      <c r="B2" s="1" t="str">
        <v>0818036</v>
      </c>
      <c r="C2" s="1" t="str">
        <v>페펜스튜디오</v>
      </c>
      <c r="D2" s="1" t="str">
        <v>문구</v>
      </c>
      <c r="E2" s="1">
        <v>1650000</v>
      </c>
      <c r="G2" s="1">
        <f>E2-IF(ISBLANK(F2),0,F2)</f>
        <v>1650000</v>
      </c>
      <c r="H2" s="1">
        <f>IFERROR(G2/G50*100,0)</f>
        <v>3.63836824696803</v>
      </c>
    </row>
    <row r="3">
      <c r="A3" s="1">
        <v>2</v>
      </c>
      <c r="B3" s="1" t="str">
        <v>0803289</v>
      </c>
      <c r="C3" s="1" t="str">
        <v>솜씨스템프</v>
      </c>
      <c r="D3" s="1" t="str">
        <v>문구</v>
      </c>
      <c r="E3" s="1">
        <v>1590000</v>
      </c>
      <c r="G3" s="1">
        <f>E3-IF(ISBLANK(F3),0,F3)</f>
        <v>1590000</v>
      </c>
      <c r="H3" s="1">
        <f>IFERROR(G3/G50*100,0)</f>
        <v>3.50606394707828</v>
      </c>
    </row>
    <row r="4">
      <c r="A4" s="1">
        <v>3</v>
      </c>
      <c r="B4" s="1" t="str">
        <v>0803267</v>
      </c>
      <c r="C4" s="1" t="str">
        <v>플레플레</v>
      </c>
      <c r="D4" s="1" t="str">
        <v>문구</v>
      </c>
      <c r="E4" s="1">
        <v>1580000</v>
      </c>
      <c r="G4" s="1">
        <f>E4-IF(ISBLANK(F4),0,F4)</f>
        <v>1580000</v>
      </c>
      <c r="H4" s="1">
        <f>IFERROR(G4/G50*100,0)</f>
        <v>3.48401323042999</v>
      </c>
    </row>
    <row r="5">
      <c r="A5" s="1">
        <v>4</v>
      </c>
      <c r="B5" s="1" t="str">
        <v>0803255</v>
      </c>
      <c r="C5" s="1" t="str">
        <v>모닝글로리</v>
      </c>
      <c r="D5" s="1" t="str">
        <v>문구</v>
      </c>
      <c r="E5" s="1">
        <v>1580000</v>
      </c>
      <c r="G5" s="1">
        <f>E5-IF(ISBLANK(F5),0,F5)</f>
        <v>1580000</v>
      </c>
      <c r="H5" s="1">
        <f>IFERROR(G5/G50*100,0)</f>
        <v>3.48401323042999</v>
      </c>
    </row>
    <row r="6">
      <c r="A6" s="1">
        <v>5</v>
      </c>
      <c r="B6" s="1" t="str">
        <v>0803222</v>
      </c>
      <c r="C6" s="1" t="str">
        <v>아르디움</v>
      </c>
      <c r="D6" s="1" t="str">
        <v>문구</v>
      </c>
      <c r="E6" s="1">
        <v>1560000</v>
      </c>
      <c r="F6" s="1">
        <v>230000</v>
      </c>
      <c r="G6" s="1">
        <f>E6-IF(ISBLANK(F6),0,F6)</f>
        <v>1330000</v>
      </c>
      <c r="H6" s="1">
        <f>IFERROR(G6/G50*100,0)</f>
        <v>2.93274531422271</v>
      </c>
    </row>
    <row r="7">
      <c r="A7" s="1">
        <v>6</v>
      </c>
      <c r="B7" s="1" t="str">
        <v>0900252</v>
      </c>
      <c r="C7" s="1" t="str">
        <v>HIGHTIDE CO.,LTD</v>
      </c>
      <c r="D7" s="1" t="str">
        <v>해외문구</v>
      </c>
      <c r="E7" s="1">
        <v>1540000</v>
      </c>
      <c r="F7" s="1">
        <v>230000</v>
      </c>
      <c r="G7" s="1">
        <f>E7-IF(ISBLANK(F7),0,F7)</f>
        <v>1310000</v>
      </c>
      <c r="H7" s="1">
        <f>IFERROR(G7/G50*100,0)</f>
        <v>2.88864388092613</v>
      </c>
    </row>
    <row r="8">
      <c r="A8" s="1">
        <v>7</v>
      </c>
      <c r="B8" s="1" t="str">
        <v>0900224</v>
      </c>
      <c r="C8" s="1" t="str">
        <v>LIHIT LAB.,INC</v>
      </c>
      <c r="D8" s="1" t="str">
        <v>해외문구</v>
      </c>
      <c r="E8" s="1">
        <v>1530000</v>
      </c>
      <c r="G8" s="1">
        <f>E8-IF(ISBLANK(F8),0,F8)</f>
        <v>1530000</v>
      </c>
      <c r="H8" s="1">
        <f>IFERROR(G8/G50*100,0)</f>
        <v>3.37375964718853</v>
      </c>
    </row>
    <row r="9">
      <c r="A9" s="1">
        <v>8</v>
      </c>
      <c r="B9" s="1" t="str">
        <v>0900216</v>
      </c>
      <c r="C9" s="1" t="str">
        <v>LEUCHTTURM</v>
      </c>
      <c r="D9" s="1" t="str">
        <v>해외문구</v>
      </c>
      <c r="E9" s="1">
        <v>1520000</v>
      </c>
      <c r="G9" s="1">
        <f>E9-IF(ISBLANK(F9),0,F9)</f>
        <v>1520000</v>
      </c>
      <c r="H9" s="1">
        <f>IFERROR(G9/G50*100,0)</f>
        <v>3.35170893054024</v>
      </c>
    </row>
    <row r="10">
      <c r="A10" s="1">
        <v>9</v>
      </c>
      <c r="B10" s="1" t="str">
        <v>0816903</v>
      </c>
      <c r="C10" s="1" t="str">
        <v>더시호</v>
      </c>
      <c r="D10" s="1" t="str">
        <v>문구</v>
      </c>
      <c r="E10" s="1">
        <v>1490000</v>
      </c>
      <c r="G10" s="1">
        <f>E10-IF(ISBLANK(F10),0,F10)</f>
        <v>1490000</v>
      </c>
      <c r="H10" s="1">
        <f>IFERROR(G10/G50*100,0)</f>
        <v>3.28555678059537</v>
      </c>
    </row>
    <row r="11">
      <c r="A11" s="1">
        <v>10</v>
      </c>
      <c r="B11" s="1" t="str">
        <v>0803186</v>
      </c>
      <c r="C11" s="1" t="str">
        <v>아이코닉</v>
      </c>
      <c r="D11" s="1" t="str">
        <v>문구</v>
      </c>
      <c r="E11" s="1">
        <v>1450000</v>
      </c>
      <c r="G11" s="1">
        <f>E11-IF(ISBLANK(F11),0,F11)</f>
        <v>1450000</v>
      </c>
      <c r="H11" s="1">
        <f>IFERROR(G11/G50*100,0)</f>
        <v>3.19735391400221</v>
      </c>
    </row>
    <row r="12">
      <c r="A12" s="1">
        <v>11</v>
      </c>
      <c r="B12" s="1" t="str">
        <v>0803187</v>
      </c>
      <c r="C12" s="1" t="str">
        <v>칠삼이일디자인</v>
      </c>
      <c r="D12" s="1" t="str">
        <v>문구</v>
      </c>
      <c r="E12" s="1">
        <v>1450000</v>
      </c>
      <c r="G12" s="1">
        <f>E12-IF(ISBLANK(F12),0,F12)</f>
        <v>1450000</v>
      </c>
      <c r="H12" s="1">
        <f>IFERROR(G12/G50*100,0)</f>
        <v>3.19735391400221</v>
      </c>
    </row>
    <row r="13">
      <c r="A13" s="1">
        <v>12</v>
      </c>
      <c r="B13" s="1" t="str">
        <v>0803159</v>
      </c>
      <c r="C13" s="1" t="str">
        <v>안테나샵</v>
      </c>
      <c r="D13" s="1" t="str">
        <v>문구</v>
      </c>
      <c r="E13" s="1">
        <v>1430000</v>
      </c>
      <c r="G13" s="1">
        <f>E13-IF(ISBLANK(F13),0,F13)</f>
        <v>1430000</v>
      </c>
      <c r="H13" s="1">
        <f>IFERROR(G13/G50*100,0)</f>
        <v>3.15325248070562</v>
      </c>
    </row>
    <row r="14">
      <c r="A14" s="1">
        <v>13</v>
      </c>
      <c r="B14" s="1" t="str">
        <v>0803144</v>
      </c>
      <c r="C14" s="1" t="str">
        <v>씨케이세일즈</v>
      </c>
      <c r="D14" s="1" t="str">
        <v>문구</v>
      </c>
      <c r="E14" s="1">
        <v>1430000</v>
      </c>
      <c r="G14" s="1">
        <f>E14-IF(ISBLANK(F14),0,F14)</f>
        <v>1430000</v>
      </c>
      <c r="H14" s="1">
        <f>IFERROR(G14/G50*100,0)</f>
        <v>3.15325248070562</v>
      </c>
    </row>
    <row r="15">
      <c r="A15" s="1">
        <v>14</v>
      </c>
      <c r="B15" s="1" t="str">
        <v>0803158</v>
      </c>
      <c r="C15" s="1" t="str">
        <v>바이풀디자인</v>
      </c>
      <c r="D15" s="1" t="str">
        <v>문구</v>
      </c>
      <c r="E15" s="1">
        <v>1430000</v>
      </c>
      <c r="G15" s="1">
        <f>E15-IF(ISBLANK(F15),0,F15)</f>
        <v>1430000</v>
      </c>
      <c r="H15" s="1">
        <f>IFERROR(G15/G50*100,0)</f>
        <v>3.15325248070562</v>
      </c>
    </row>
    <row r="16">
      <c r="A16" s="1">
        <v>15</v>
      </c>
      <c r="B16" s="1" t="str">
        <v>0803124</v>
      </c>
      <c r="C16" s="1" t="str">
        <v>아톰상사(특정매입)</v>
      </c>
      <c r="D16" s="1" t="str">
        <v>특정매입</v>
      </c>
      <c r="E16" s="1">
        <v>1420000</v>
      </c>
      <c r="G16" s="1">
        <f>E16-IF(ISBLANK(F16),0,F16)</f>
        <v>1420000</v>
      </c>
      <c r="H16" s="1">
        <f>IFERROR(G16/G50*100,0)</f>
        <v>3.13120176405733</v>
      </c>
    </row>
    <row r="17">
      <c r="A17" s="1">
        <v>16</v>
      </c>
      <c r="B17" s="1" t="str">
        <v>0811795</v>
      </c>
      <c r="C17" s="1" t="str">
        <v>베르제마넷</v>
      </c>
      <c r="D17" s="1" t="str">
        <v>문구</v>
      </c>
      <c r="E17" s="1">
        <v>1410000</v>
      </c>
      <c r="G17" s="1">
        <f>E17-IF(ISBLANK(F17),0,F17)</f>
        <v>1410000</v>
      </c>
      <c r="H17" s="1">
        <f>IFERROR(G17/G50*100,0)</f>
        <v>3.10915104740904</v>
      </c>
    </row>
    <row r="18">
      <c r="A18" s="1">
        <v>17</v>
      </c>
      <c r="B18" s="1" t="str">
        <v>0803080</v>
      </c>
      <c r="C18" s="1" t="str">
        <v>위드에버상사</v>
      </c>
      <c r="D18" s="1" t="str">
        <v>문구</v>
      </c>
      <c r="E18" s="1">
        <v>1300000</v>
      </c>
      <c r="G18" s="1">
        <f>E18-IF(ISBLANK(F18),0,F18)</f>
        <v>1300000</v>
      </c>
      <c r="H18" s="1">
        <f>IFERROR(G18/G50*100,0)</f>
        <v>2.86659316427784</v>
      </c>
    </row>
    <row r="19">
      <c r="A19" s="1">
        <v>18</v>
      </c>
      <c r="B19" s="1" t="str">
        <v>0816796</v>
      </c>
      <c r="C19" s="1" t="str">
        <v>마이누</v>
      </c>
      <c r="D19" s="1" t="str">
        <v>문구</v>
      </c>
      <c r="E19" s="1">
        <v>1250000</v>
      </c>
      <c r="G19" s="1">
        <f>E19-IF(ISBLANK(F19),0,F19)</f>
        <v>1250000</v>
      </c>
      <c r="H19" s="1">
        <f>IFERROR(G19/G50*100,0)</f>
        <v>2.75633958103638</v>
      </c>
    </row>
    <row r="20">
      <c r="A20" s="1">
        <v>19</v>
      </c>
      <c r="B20" s="1" t="str">
        <v>0810588</v>
      </c>
      <c r="C20" s="1" t="str">
        <v>케이디코퍼레이션</v>
      </c>
      <c r="D20" s="1" t="str">
        <v>문구</v>
      </c>
      <c r="E20" s="1">
        <v>1140000</v>
      </c>
      <c r="G20" s="1">
        <f>E20-IF(ISBLANK(F20),0,F20)</f>
        <v>1140000</v>
      </c>
      <c r="H20" s="1">
        <f>IFERROR(G20/G50*100,0)</f>
        <v>2.51378169790518</v>
      </c>
    </row>
    <row r="21">
      <c r="A21" s="1">
        <v>20</v>
      </c>
      <c r="B21" s="1" t="str">
        <v>0811513</v>
      </c>
      <c r="C21" s="1" t="str">
        <v>캘리엠</v>
      </c>
      <c r="D21" s="1" t="str">
        <v>문구</v>
      </c>
      <c r="E21" s="1">
        <v>1080000</v>
      </c>
      <c r="G21" s="1">
        <f>E21-IF(ISBLANK(F21),0,F21)</f>
        <v>1080000</v>
      </c>
      <c r="H21" s="1">
        <f>IFERROR(G21/G50*100,0)</f>
        <v>2.38147739801544</v>
      </c>
    </row>
    <row r="22">
      <c r="A22" s="1">
        <v>21</v>
      </c>
      <c r="B22" s="1" t="str">
        <v>0817625</v>
      </c>
      <c r="C22" s="1" t="str">
        <v>대인커머스</v>
      </c>
      <c r="D22" s="1" t="str">
        <v>문구</v>
      </c>
      <c r="E22" s="1">
        <v>1040000</v>
      </c>
      <c r="G22" s="1">
        <f>E22-IF(ISBLANK(F22),0,F22)</f>
        <v>1040000</v>
      </c>
      <c r="H22" s="1">
        <f>IFERROR(G22/G50*100,0)</f>
        <v>2.29327453142227</v>
      </c>
    </row>
    <row r="23">
      <c r="A23" s="1">
        <v>22</v>
      </c>
      <c r="B23" s="1" t="str">
        <v>0817604</v>
      </c>
      <c r="C23" s="1" t="str">
        <v>비온뒤</v>
      </c>
      <c r="D23" s="1" t="str">
        <v>문구</v>
      </c>
      <c r="E23" s="1">
        <v>1030000</v>
      </c>
      <c r="G23" s="1">
        <f>E23-IF(ISBLANK(F23),0,F23)</f>
        <v>1030000</v>
      </c>
      <c r="H23" s="1">
        <f>IFERROR(G23/G50*100,0)</f>
        <v>2.27122381477398</v>
      </c>
    </row>
    <row r="24">
      <c r="A24" s="1">
        <v>23</v>
      </c>
      <c r="B24" s="1" t="str">
        <v>0818620</v>
      </c>
      <c r="C24" s="1" t="str">
        <v>더토브</v>
      </c>
      <c r="D24" s="1" t="str">
        <v>문구</v>
      </c>
      <c r="E24" s="1">
        <v>1010000</v>
      </c>
      <c r="G24" s="1">
        <f>E24-IF(ISBLANK(F24),0,F24)</f>
        <v>1010000</v>
      </c>
      <c r="H24" s="1">
        <f>IFERROR(G24/G50*100,0)</f>
        <v>2.2271223814774</v>
      </c>
    </row>
    <row r="25">
      <c r="A25" s="1">
        <v>24</v>
      </c>
      <c r="B25" s="1" t="str">
        <v>0810456</v>
      </c>
      <c r="C25" s="1" t="str">
        <v>디앤에프조이필</v>
      </c>
      <c r="D25" s="1" t="str">
        <v>문구</v>
      </c>
      <c r="E25" s="1">
        <v>990000</v>
      </c>
      <c r="G25" s="1">
        <f>E25-IF(ISBLANK(F25),0,F25)</f>
        <v>990000</v>
      </c>
      <c r="H25" s="1">
        <f>IFERROR(G25/G50*100,0)</f>
        <v>2.18302094818082</v>
      </c>
    </row>
    <row r="26">
      <c r="A26" s="1">
        <v>25</v>
      </c>
      <c r="B26" s="1" t="str">
        <v>0816555</v>
      </c>
      <c r="C26" s="1" t="str">
        <v>냐냐온 스튜디오</v>
      </c>
      <c r="D26" s="1" t="str">
        <v>문구</v>
      </c>
      <c r="E26" s="1">
        <v>940000</v>
      </c>
      <c r="G26" s="1">
        <f>E26-IF(ISBLANK(F26),0,F26)</f>
        <v>940000</v>
      </c>
      <c r="H26" s="1">
        <f>IFERROR(G26/G50*100,0)</f>
        <v>2.07276736493936</v>
      </c>
    </row>
    <row r="27">
      <c r="A27" s="1">
        <v>26</v>
      </c>
      <c r="B27" s="1" t="str">
        <v>0816525</v>
      </c>
      <c r="C27" s="1" t="str">
        <v>루카랩컴퍼니</v>
      </c>
      <c r="D27" s="1" t="str">
        <v>문구</v>
      </c>
      <c r="E27" s="1">
        <v>930000</v>
      </c>
      <c r="G27" s="1">
        <f>E27-IF(ISBLANK(F27),0,F27)</f>
        <v>930000</v>
      </c>
      <c r="H27" s="1">
        <f>IFERROR(G27/G50*100,0)</f>
        <v>2.05071664829107</v>
      </c>
    </row>
    <row r="28">
      <c r="A28" s="1">
        <v>27</v>
      </c>
      <c r="B28" s="1" t="str">
        <v>0803825</v>
      </c>
      <c r="C28" s="1" t="str">
        <v>정인통상</v>
      </c>
      <c r="D28" s="1" t="str">
        <v>문구</v>
      </c>
      <c r="E28" s="1">
        <v>930000</v>
      </c>
      <c r="G28" s="1">
        <f>E28-IF(ISBLANK(F28),0,F28)</f>
        <v>930000</v>
      </c>
      <c r="H28" s="1">
        <f>IFERROR(G28/G50*100,0)</f>
        <v>2.05071664829107</v>
      </c>
    </row>
    <row r="29">
      <c r="A29" s="1">
        <v>28</v>
      </c>
      <c r="B29" s="1" t="str">
        <v>0803833</v>
      </c>
      <c r="C29" s="1" t="str">
        <v>모나미(특정매입)</v>
      </c>
      <c r="D29" s="1" t="str">
        <v>특정매입</v>
      </c>
      <c r="E29" s="1">
        <v>930000</v>
      </c>
      <c r="G29" s="1">
        <f>E29-IF(ISBLANK(F29),0,F29)</f>
        <v>930000</v>
      </c>
      <c r="H29" s="1">
        <f>IFERROR(G29/G50*100,0)</f>
        <v>2.05071664829107</v>
      </c>
    </row>
    <row r="30">
      <c r="A30" s="1">
        <v>29</v>
      </c>
      <c r="B30" s="1" t="str">
        <v>0817528</v>
      </c>
      <c r="C30" s="1" t="str">
        <v>누크코퍼레이션</v>
      </c>
      <c r="D30" s="1" t="str">
        <v>문구</v>
      </c>
      <c r="E30" s="1">
        <v>900000</v>
      </c>
      <c r="G30" s="1">
        <f>E30-IF(ISBLANK(F30),0,F30)</f>
        <v>900000</v>
      </c>
      <c r="H30" s="1">
        <f>IFERROR(G30/G50*100,0)</f>
        <v>1.9845644983462</v>
      </c>
    </row>
    <row r="31">
      <c r="A31" s="1">
        <v>30</v>
      </c>
      <c r="B31" s="1" t="str">
        <v>0803791</v>
      </c>
      <c r="C31" s="1" t="str">
        <v>공장</v>
      </c>
      <c r="D31" s="1" t="str">
        <v>문구</v>
      </c>
      <c r="E31" s="1">
        <v>810000</v>
      </c>
      <c r="G31" s="1">
        <f>E31-IF(ISBLANK(F31),0,F31)</f>
        <v>810000</v>
      </c>
      <c r="H31" s="1">
        <f>IFERROR(G31/G50*100,0)</f>
        <v>1.78610804851158</v>
      </c>
    </row>
    <row r="32">
      <c r="A32" s="1">
        <v>31</v>
      </c>
      <c r="B32" s="1" t="str">
        <v>0803741</v>
      </c>
      <c r="C32" s="1" t="str">
        <v>BST</v>
      </c>
      <c r="D32" s="1" t="str">
        <v>문구</v>
      </c>
      <c r="E32" s="1">
        <v>790000</v>
      </c>
      <c r="G32" s="1">
        <f>E32-IF(ISBLANK(F32),0,F32)</f>
        <v>790000</v>
      </c>
      <c r="H32" s="1">
        <f>IFERROR(G32/G50*100,0)</f>
        <v>1.74200661521499</v>
      </c>
    </row>
    <row r="33">
      <c r="A33" s="1">
        <v>32</v>
      </c>
      <c r="B33" s="1" t="str">
        <v>0806798</v>
      </c>
      <c r="C33" s="1" t="str">
        <v>이가라인유통</v>
      </c>
      <c r="D33" s="1" t="str">
        <v>문구</v>
      </c>
      <c r="E33" s="1">
        <v>720000</v>
      </c>
      <c r="G33" s="1">
        <f>E33-IF(ISBLANK(F33),0,F33)</f>
        <v>720000</v>
      </c>
      <c r="H33" s="1">
        <f>IFERROR(G33/G50*100,0)</f>
        <v>1.58765159867696</v>
      </c>
    </row>
    <row r="34">
      <c r="A34" s="1">
        <v>33</v>
      </c>
      <c r="B34" s="1" t="str">
        <v>0803690</v>
      </c>
      <c r="C34" s="1" t="str">
        <v>인디고</v>
      </c>
      <c r="D34" s="1" t="str">
        <v>문구</v>
      </c>
      <c r="E34" s="1">
        <v>670000</v>
      </c>
      <c r="G34" s="1">
        <f>E34-IF(ISBLANK(F34),0,F34)</f>
        <v>670000</v>
      </c>
      <c r="H34" s="1">
        <f>IFERROR(G34/G50*100,0)</f>
        <v>1.4773980154355</v>
      </c>
    </row>
    <row r="35">
      <c r="A35" s="1">
        <v>34</v>
      </c>
      <c r="B35" s="1" t="str">
        <v>0816312</v>
      </c>
      <c r="C35" s="1" t="str">
        <v>엠젯패밀리</v>
      </c>
      <c r="D35" s="1" t="str">
        <v>문구</v>
      </c>
      <c r="E35" s="1">
        <v>630000</v>
      </c>
      <c r="F35" s="1">
        <v>90000</v>
      </c>
      <c r="G35" s="1">
        <f>E35-IF(ISBLANK(F35),0,F35)</f>
        <v>540000</v>
      </c>
      <c r="H35" s="1">
        <f>IFERROR(G35/G50*100,0)</f>
        <v>1.19073869900772</v>
      </c>
    </row>
    <row r="36">
      <c r="A36" s="1">
        <v>35</v>
      </c>
      <c r="B36" s="1" t="str">
        <v>0803527</v>
      </c>
      <c r="C36" s="1" t="str">
        <v>프론티어통상</v>
      </c>
      <c r="D36" s="1" t="str">
        <v>문구</v>
      </c>
      <c r="E36" s="1">
        <v>490000</v>
      </c>
      <c r="G36" s="1">
        <f>E36-IF(ISBLANK(F36),0,F36)</f>
        <v>490000</v>
      </c>
      <c r="H36" s="1">
        <f>IFERROR(G36/G50*100,0)</f>
        <v>1.08048511576626</v>
      </c>
    </row>
    <row r="37">
      <c r="A37" s="1">
        <v>36</v>
      </c>
      <c r="B37" s="1" t="str">
        <v>0803503</v>
      </c>
      <c r="C37" s="1" t="str">
        <v>로마네</v>
      </c>
      <c r="D37" s="1" t="str">
        <v>문구</v>
      </c>
      <c r="E37" s="1">
        <v>480000</v>
      </c>
      <c r="G37" s="1">
        <f>E37-IF(ISBLANK(F37),0,F37)</f>
        <v>480000</v>
      </c>
      <c r="H37" s="1">
        <f>IFERROR(G37/G50*100,0)</f>
        <v>1.05843439911797</v>
      </c>
    </row>
    <row r="38">
      <c r="A38" s="1">
        <v>37</v>
      </c>
      <c r="B38" s="1" t="str">
        <v>01B0504</v>
      </c>
      <c r="C38" s="1" t="str">
        <v>카카오엔터테인먼트</v>
      </c>
      <c r="D38" s="1" t="str">
        <v>음반</v>
      </c>
      <c r="E38" s="1">
        <v>480000</v>
      </c>
      <c r="G38" s="1">
        <f>E38-IF(ISBLANK(F38),0,F38)</f>
        <v>480000</v>
      </c>
      <c r="H38" s="1">
        <f>IFERROR(G38/G50*100,0)</f>
        <v>1.05843439911797</v>
      </c>
    </row>
    <row r="39">
      <c r="A39" s="1">
        <v>38</v>
      </c>
      <c r="B39" s="1" t="str">
        <v>0817225</v>
      </c>
      <c r="C39" s="1" t="str">
        <v>도혜드로잉</v>
      </c>
      <c r="D39" s="1" t="str">
        <v>문구</v>
      </c>
      <c r="E39" s="1">
        <v>460000</v>
      </c>
      <c r="G39" s="1">
        <f>E39-IF(ISBLANK(F39),0,F39)</f>
        <v>460000</v>
      </c>
      <c r="H39" s="1">
        <f>IFERROR(G39/G50*100,0)</f>
        <v>1.01433296582139</v>
      </c>
    </row>
    <row r="40">
      <c r="A40" s="1">
        <v>39</v>
      </c>
      <c r="B40" s="1" t="str">
        <v>0816166</v>
      </c>
      <c r="C40" s="1" t="str">
        <v>해밀</v>
      </c>
      <c r="D40" s="1" t="str">
        <v>문구</v>
      </c>
      <c r="E40" s="1">
        <v>370000</v>
      </c>
      <c r="G40" s="1">
        <f>E40-IF(ISBLANK(F40),0,F40)</f>
        <v>370000</v>
      </c>
      <c r="H40" s="1">
        <f>IFERROR(G40/G50*100,0)</f>
        <v>0.81587651598677</v>
      </c>
    </row>
    <row r="41">
      <c r="A41" s="1">
        <v>40</v>
      </c>
      <c r="B41" s="1" t="str">
        <v>01B0478</v>
      </c>
      <c r="C41" s="1" t="str">
        <v>와이지플러스</v>
      </c>
      <c r="D41" s="1" t="str">
        <v>음반</v>
      </c>
      <c r="E41" s="1">
        <v>370000</v>
      </c>
      <c r="G41" s="1">
        <f>E41-IF(ISBLANK(F41),0,F41)</f>
        <v>370000</v>
      </c>
      <c r="H41" s="1">
        <f>IFERROR(G41/G50*100,0)</f>
        <v>0.81587651598677</v>
      </c>
    </row>
    <row r="42">
      <c r="A42" s="1">
        <v>41</v>
      </c>
      <c r="B42" s="1" t="str">
        <v>01B0470</v>
      </c>
      <c r="C42" s="1" t="str">
        <v>드림어스컴퍼니</v>
      </c>
      <c r="D42" s="1" t="str">
        <v>음반</v>
      </c>
      <c r="E42" s="1">
        <v>360000</v>
      </c>
      <c r="G42" s="1">
        <f>E42-IF(ISBLANK(F42),0,F42)</f>
        <v>360000</v>
      </c>
      <c r="H42" s="1">
        <f>IFERROR(G42/G50*100,0)</f>
        <v>0.793825799338479</v>
      </c>
    </row>
    <row r="43">
      <c r="A43" s="1">
        <v>42</v>
      </c>
      <c r="B43" s="1" t="str">
        <v>0817135</v>
      </c>
      <c r="C43" s="1" t="str">
        <v>해피썬</v>
      </c>
      <c r="D43" s="1" t="str">
        <v>문구</v>
      </c>
      <c r="E43" s="1">
        <v>320000</v>
      </c>
      <c r="G43" s="1">
        <f>E43-IF(ISBLANK(F43),0,F43)</f>
        <v>320000</v>
      </c>
      <c r="H43" s="1">
        <f>IFERROR(G43/G50*100,0)</f>
        <v>0.705622932745314</v>
      </c>
    </row>
    <row r="44">
      <c r="A44" s="1">
        <v>43</v>
      </c>
      <c r="B44" s="1" t="str">
        <v>0800334</v>
      </c>
      <c r="C44" s="1" t="str">
        <v>아이비스코리아</v>
      </c>
      <c r="D44" s="1" t="str">
        <v>문구</v>
      </c>
      <c r="E44" s="1">
        <v>300000</v>
      </c>
      <c r="G44" s="1">
        <f>E44-IF(ISBLANK(F44),0,F44)</f>
        <v>300000</v>
      </c>
      <c r="H44" s="1">
        <f>IFERROR(G44/G50*100,0)</f>
        <v>0.661521499448732</v>
      </c>
    </row>
    <row r="45">
      <c r="A45" s="1">
        <v>44</v>
      </c>
      <c r="B45" s="1" t="str">
        <v>0807497</v>
      </c>
      <c r="C45" s="1" t="str">
        <v>학산문화사</v>
      </c>
      <c r="D45" s="1" t="str">
        <v>문구</v>
      </c>
      <c r="E45" s="1">
        <v>260000</v>
      </c>
      <c r="G45" s="1">
        <f>E45-IF(ISBLANK(F45),0,F45)</f>
        <v>260000</v>
      </c>
      <c r="H45" s="1">
        <f>IFERROR(G45/G50*100,0)</f>
        <v>0.573318632855568</v>
      </c>
    </row>
    <row r="46">
      <c r="A46" s="1">
        <v>45</v>
      </c>
      <c r="B46" s="1" t="str">
        <v>0807485</v>
      </c>
      <c r="C46" s="1" t="str">
        <v>대시앤도트</v>
      </c>
      <c r="D46" s="1" t="str">
        <v>문구</v>
      </c>
      <c r="E46" s="1">
        <v>250000</v>
      </c>
      <c r="G46" s="1">
        <f>E46-IF(ISBLANK(F46),0,F46)</f>
        <v>250000</v>
      </c>
      <c r="H46" s="1">
        <f>IFERROR(G46/G50*100,0)</f>
        <v>0.551267916207277</v>
      </c>
    </row>
    <row r="47">
      <c r="A47" s="1">
        <v>46</v>
      </c>
      <c r="B47" s="1" t="str">
        <v>0807481</v>
      </c>
      <c r="C47" s="1" t="str">
        <v>골드디자인</v>
      </c>
      <c r="D47" s="1" t="str">
        <v>문구</v>
      </c>
      <c r="E47" s="1">
        <v>250000</v>
      </c>
      <c r="G47" s="1">
        <f>E47-IF(ISBLANK(F47),0,F47)</f>
        <v>250000</v>
      </c>
      <c r="H47" s="1">
        <f>IFERROR(G47/G50*100,0)</f>
        <v>0.551267916207277</v>
      </c>
    </row>
    <row r="48">
      <c r="A48" s="1">
        <v>47</v>
      </c>
      <c r="B48" s="1" t="str">
        <v>0803303</v>
      </c>
      <c r="C48" s="1" t="str">
        <v>이투컬렉션</v>
      </c>
      <c r="D48" s="1" t="str">
        <v>문구</v>
      </c>
      <c r="E48" s="1">
        <v>200000</v>
      </c>
      <c r="G48" s="1">
        <f>E48-IF(ISBLANK(F48),0,F48)</f>
        <v>200000</v>
      </c>
      <c r="H48" s="1">
        <f>IFERROR(G48/G50*100,0)</f>
        <v>0.441014332965821</v>
      </c>
    </row>
    <row r="49">
      <c r="A49" s="1">
        <v>48</v>
      </c>
      <c r="B49" s="1" t="str">
        <v>0812988</v>
      </c>
      <c r="C49" s="1" t="str">
        <v>모트모트</v>
      </c>
      <c r="D49" s="1" t="str">
        <v>문구</v>
      </c>
      <c r="E49" s="1">
        <v>160000</v>
      </c>
      <c r="G49" s="1">
        <f>E49-IF(ISBLANK(F49),0,F49)</f>
        <v>160000</v>
      </c>
      <c r="H49" s="1">
        <f>IFERROR(G49/G50*100,0)</f>
        <v>0.352811466372657</v>
      </c>
    </row>
    <row r="50">
      <c r="C50" s="1" t="str">
        <v>합계</v>
      </c>
      <c r="E50" s="1">
        <f>SUM(E2:E49)</f>
        <v>45900000</v>
      </c>
      <c r="F50" s="1">
        <f>SUM(F2:F49)</f>
        <v>550000</v>
      </c>
      <c r="G50" s="1">
        <f>SUM(G2:G49)</f>
        <v>45350000</v>
      </c>
      <c r="H50" s="1">
        <v>100</v>
      </c>
    </row>
  </sheetData>
  <pageMargins left="0.75" right="0.75" top="1" bottom="1" header="0.511811023622047" footer="0.511811023622047"/>
  <ignoredErrors>
    <ignoredError numberStoredAsText="1" sqref="A1:H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매입처마스터</vt:lpstr>
      <vt:lpstr>점포별매출매트릭스</vt:lpstr>
      <vt:lpstr>광화문점</vt:lpstr>
      <vt:lpstr>강남점</vt:lpstr>
      <vt:lpstr>잠실점</vt:lpstr>
      <vt:lpstr>부산점</vt:lpstr>
      <vt:lpstr>창원점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2026-04-24T07:04:50Z</dcterms:created>
  <dcterms:modified xsi:type="dcterms:W3CDTF">2026-04-24T07:04:51Z</dcterms:modified>
  <cp:revision>0</cp:revision>
  <dc:creator>openpyxl</dc:creator>
  <dc:language>en-US</dc:language>
</cp:coreProperties>
</file>